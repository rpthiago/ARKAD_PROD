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37" documentId="11_2D29B4995B40DC2437FB3211595ED87656CD8051" xr6:coauthVersionLast="47" xr6:coauthVersionMax="47" xr10:uidLastSave="{AC661283-70C4-41D4-A402-9A7D9585285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1" l="1"/>
  <c r="L37" i="1"/>
  <c r="L38" i="1"/>
  <c r="L39" i="1"/>
  <c r="L40" i="1"/>
  <c r="L41" i="1"/>
  <c r="L42" i="1"/>
  <c r="L4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</calcChain>
</file>

<file path=xl/sharedStrings.xml><?xml version="1.0" encoding="utf-8"?>
<sst xmlns="http://schemas.openxmlformats.org/spreadsheetml/2006/main" count="306" uniqueCount="117">
  <si>
    <t>Data</t>
  </si>
  <si>
    <t>Liga</t>
  </si>
  <si>
    <t>Jogo</t>
  </si>
  <si>
    <t>Metodo</t>
  </si>
  <si>
    <t>Mercado</t>
  </si>
  <si>
    <t>Lado</t>
  </si>
  <si>
    <t>Odd_Entrada</t>
  </si>
  <si>
    <t>Odd_Fav_A</t>
  </si>
  <si>
    <t>Odd_Draw</t>
  </si>
  <si>
    <t>Placar</t>
  </si>
  <si>
    <t>21/08/2026</t>
  </si>
  <si>
    <t>SAUDI ARABIA 1</t>
  </si>
  <si>
    <t>Al Riyadh x Al Nassr</t>
  </si>
  <si>
    <t>Match Odds (Draw)</t>
  </si>
  <si>
    <t>LAY</t>
  </si>
  <si>
    <t>0x4</t>
  </si>
  <si>
    <t>WOM GERMANY 1</t>
  </si>
  <si>
    <t>Union Berlin W x Bayern Munich W</t>
  </si>
  <si>
    <t>1x4</t>
  </si>
  <si>
    <t>ICELAND 2</t>
  </si>
  <si>
    <t>Aegir x Afturelding</t>
  </si>
  <si>
    <t>0x7</t>
  </si>
  <si>
    <t>GERMANY CUP</t>
  </si>
  <si>
    <t>Hansa Rostock x Stuttgart</t>
  </si>
  <si>
    <t>WALES 1</t>
  </si>
  <si>
    <t>Trefelin x Caernarfon</t>
  </si>
  <si>
    <t>0x2</t>
  </si>
  <si>
    <t>Holywell x Barry</t>
  </si>
  <si>
    <t>1x3</t>
  </si>
  <si>
    <t>Cardiff Metropolitan x TNS</t>
  </si>
  <si>
    <t>0x5</t>
  </si>
  <si>
    <t>22/08/2026</t>
  </si>
  <si>
    <t>ENGLAND 1</t>
  </si>
  <si>
    <t>Hull x Manchester Utd</t>
  </si>
  <si>
    <t>2x0</t>
  </si>
  <si>
    <t>Ammanford x Connahs Q.</t>
  </si>
  <si>
    <t>1.FC Nurnberg W x Wolfsburg W</t>
  </si>
  <si>
    <t>2x8</t>
  </si>
  <si>
    <t>NORTHERN IRELAND 2</t>
  </si>
  <si>
    <t>Strabane Athletic x H&amp;W Welders</t>
  </si>
  <si>
    <t>1x2</t>
  </si>
  <si>
    <t>SLOVAKIA 2</t>
  </si>
  <si>
    <t>MFK Bytca x Z. Moravce-Vrable</t>
  </si>
  <si>
    <t>2x1</t>
  </si>
  <si>
    <t>SPAIN 1</t>
  </si>
  <si>
    <t>Espanyol x Real Madrid</t>
  </si>
  <si>
    <t>23/08/2026</t>
  </si>
  <si>
    <t>ESTONIA 2</t>
  </si>
  <si>
    <t>Nomme Kalju U21 x Tartu Welco</t>
  </si>
  <si>
    <t>2x4</t>
  </si>
  <si>
    <t>Westfalia Rhynern x SG Dynamo Dresden</t>
  </si>
  <si>
    <t>0x6</t>
  </si>
  <si>
    <t>NETHERLANDS 1</t>
  </si>
  <si>
    <t>Cambuur x Feyenoord</t>
  </si>
  <si>
    <t>2x5</t>
  </si>
  <si>
    <t>SLOVENIA 2</t>
  </si>
  <si>
    <t>Krsko Posavje x Tabor Sezana</t>
  </si>
  <si>
    <t>Phonix Lubeck x Paderborn</t>
  </si>
  <si>
    <t>BOLIVIA 1</t>
  </si>
  <si>
    <t>Real Oruro x Bolivar</t>
  </si>
  <si>
    <t>Elche x Barcelona</t>
  </si>
  <si>
    <t>24/08/2026</t>
  </si>
  <si>
    <t>Verl x Hamburger SV</t>
  </si>
  <si>
    <t>0x3</t>
  </si>
  <si>
    <t>Altglienicke x Wolfsburg</t>
  </si>
  <si>
    <t>3x3</t>
  </si>
  <si>
    <t>Wurzburger Kickers x FC Koln</t>
  </si>
  <si>
    <t>Hallescher x Schalke</t>
  </si>
  <si>
    <t>25/08/2026</t>
  </si>
  <si>
    <t>Al Ettifaq x Al Nassr</t>
  </si>
  <si>
    <t>2x3</t>
  </si>
  <si>
    <t>ENGLAND CUP</t>
  </si>
  <si>
    <t>Doncaster x Middlesbrough</t>
  </si>
  <si>
    <t>26/08/2026</t>
  </si>
  <si>
    <t>Preston x Everton</t>
  </si>
  <si>
    <t>27/08/2026</t>
  </si>
  <si>
    <t>EUROPA LEAGUE</t>
  </si>
  <si>
    <t>Kauno Zalgiris (LTU) x Besiktas (TUR)</t>
  </si>
  <si>
    <t>1x0</t>
  </si>
  <si>
    <t>Aarhus (DEN) x Benfica (POR)</t>
  </si>
  <si>
    <t>28/08/2026</t>
  </si>
  <si>
    <t>SOUTH KOREA 2</t>
  </si>
  <si>
    <t>Ansan Greeners x Daegu</t>
  </si>
  <si>
    <t>AUSTRIA 2</t>
  </si>
  <si>
    <t>Kapfenberg x BW Linz</t>
  </si>
  <si>
    <t>Al Khaleej x Al Hilal</t>
  </si>
  <si>
    <t>1x5</t>
  </si>
  <si>
    <t>Holywell x Caernarfon</t>
  </si>
  <si>
    <t>3x5</t>
  </si>
  <si>
    <t>PORTUGAL 1</t>
  </si>
  <si>
    <t>Rio Ave x Sporting CP</t>
  </si>
  <si>
    <t>29/08/2026</t>
  </si>
  <si>
    <t>Croatian HNL</t>
  </si>
  <si>
    <t>NK Istra x Dinamo Zagreb</t>
  </si>
  <si>
    <t>Indian Mizoram Premier League</t>
  </si>
  <si>
    <t>MLS FC x Aizawl FC</t>
  </si>
  <si>
    <t>Portuguese Primeira Liga</t>
  </si>
  <si>
    <t>Academico de Viseu x Porto</t>
  </si>
  <si>
    <t>30/08/2026</t>
  </si>
  <si>
    <t>CYPRUS 1</t>
  </si>
  <si>
    <t>Karmiotissa Polemidion x Pafos FC</t>
  </si>
  <si>
    <t>Cambuur Leeuwarden x FC Twente</t>
  </si>
  <si>
    <t>GREECE 1</t>
  </si>
  <si>
    <t>Kifisia x AEK Athens</t>
  </si>
  <si>
    <t>BOSNIA 1</t>
  </si>
  <si>
    <t>Radnik Bijeljina x Borac Banja Luka</t>
  </si>
  <si>
    <t>31/08/2026</t>
  </si>
  <si>
    <t>UKRAINE 1</t>
  </si>
  <si>
    <t>Zorya x FC Kharkiv</t>
  </si>
  <si>
    <t>2X2</t>
  </si>
  <si>
    <t>2X5</t>
  </si>
  <si>
    <t>0X3</t>
  </si>
  <si>
    <t>1X4</t>
  </si>
  <si>
    <t>1X1</t>
  </si>
  <si>
    <t>1/0</t>
  </si>
  <si>
    <t>P/L</t>
  </si>
  <si>
    <t>Lay Draw (Fav &lt;= 1.40)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</si>
</sst>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activeCell="D5" sqref="D5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114</v>
      </c>
      <c r="L1" s="2" t="s">
        <v>115</v>
      </c>
    </row>
    <row r="2" spans="1:12" x14ac:dyDescent="0.3">
      <c r="A2" t="s">
        <v>10</v>
      </c>
      <c r="B2" t="s">
        <v>11</v>
      </c>
      <c r="C2" t="s">
        <v>12</v>
      </c>
      <c r="D2" t="s">
        <v>116</v>
      </c>
      <c r="E2" t="s">
        <v>13</v>
      </c>
      <c r="F2" t="s">
        <v>14</v>
      </c>
      <c r="G2">
        <v>5.92</v>
      </c>
      <c r="H2">
        <v>1.22</v>
      </c>
      <c r="I2">
        <v>5.75</v>
      </c>
      <c r="J2" t="s">
        <v>15</v>
      </c>
      <c r="K2">
        <v>1</v>
      </c>
      <c r="L2">
        <f>IF(K2=1,0.965/(G2-1),-1)</f>
        <v>0.19613821138211382</v>
      </c>
    </row>
    <row r="3" spans="1:12" x14ac:dyDescent="0.3">
      <c r="A3" t="s">
        <v>10</v>
      </c>
      <c r="B3" t="s">
        <v>16</v>
      </c>
      <c r="C3" t="s">
        <v>17</v>
      </c>
      <c r="D3" t="s">
        <v>116</v>
      </c>
      <c r="E3" t="s">
        <v>13</v>
      </c>
      <c r="F3" t="s">
        <v>14</v>
      </c>
      <c r="G3">
        <v>6.39</v>
      </c>
      <c r="H3">
        <v>1.18</v>
      </c>
      <c r="I3">
        <v>6.2</v>
      </c>
      <c r="J3" t="s">
        <v>18</v>
      </c>
      <c r="K3">
        <v>1</v>
      </c>
      <c r="L3">
        <f t="shared" ref="L3:L43" si="0">IF(K3=1,0.965/(G3-1),-1)</f>
        <v>0.1790352504638219</v>
      </c>
    </row>
    <row r="4" spans="1:12" x14ac:dyDescent="0.3">
      <c r="A4" t="s">
        <v>10</v>
      </c>
      <c r="B4" t="s">
        <v>19</v>
      </c>
      <c r="C4" t="s">
        <v>20</v>
      </c>
      <c r="D4" t="s">
        <v>116</v>
      </c>
      <c r="E4" t="s">
        <v>13</v>
      </c>
      <c r="F4" t="s">
        <v>14</v>
      </c>
      <c r="G4">
        <v>8.24</v>
      </c>
      <c r="H4">
        <v>1.1100000000000001</v>
      </c>
      <c r="I4">
        <v>8</v>
      </c>
      <c r="J4" t="s">
        <v>21</v>
      </c>
      <c r="K4">
        <v>1</v>
      </c>
      <c r="L4">
        <f t="shared" si="0"/>
        <v>0.13328729281767954</v>
      </c>
    </row>
    <row r="5" spans="1:12" x14ac:dyDescent="0.3">
      <c r="A5" t="s">
        <v>10</v>
      </c>
      <c r="B5" t="s">
        <v>22</v>
      </c>
      <c r="C5" t="s">
        <v>23</v>
      </c>
      <c r="D5" t="s">
        <v>116</v>
      </c>
      <c r="E5" t="s">
        <v>13</v>
      </c>
      <c r="F5" t="s">
        <v>14</v>
      </c>
      <c r="G5">
        <v>6.18</v>
      </c>
      <c r="H5">
        <v>1.22</v>
      </c>
      <c r="I5">
        <v>6</v>
      </c>
      <c r="J5" t="s">
        <v>15</v>
      </c>
      <c r="K5">
        <v>1</v>
      </c>
      <c r="L5">
        <f t="shared" si="0"/>
        <v>0.18629343629343631</v>
      </c>
    </row>
    <row r="6" spans="1:12" x14ac:dyDescent="0.3">
      <c r="A6" t="s">
        <v>10</v>
      </c>
      <c r="B6" t="s">
        <v>24</v>
      </c>
      <c r="C6" t="s">
        <v>25</v>
      </c>
      <c r="D6" t="s">
        <v>116</v>
      </c>
      <c r="E6" t="s">
        <v>13</v>
      </c>
      <c r="F6" t="s">
        <v>14</v>
      </c>
      <c r="G6">
        <v>5.66</v>
      </c>
      <c r="H6">
        <v>1.2</v>
      </c>
      <c r="I6">
        <v>5.5</v>
      </c>
      <c r="J6" t="s">
        <v>26</v>
      </c>
      <c r="K6">
        <v>1</v>
      </c>
      <c r="L6">
        <f t="shared" si="0"/>
        <v>0.20708154506437768</v>
      </c>
    </row>
    <row r="7" spans="1:12" x14ac:dyDescent="0.3">
      <c r="A7" t="s">
        <v>10</v>
      </c>
      <c r="B7" t="s">
        <v>24</v>
      </c>
      <c r="C7" t="s">
        <v>27</v>
      </c>
      <c r="D7" t="s">
        <v>116</v>
      </c>
      <c r="E7" t="s">
        <v>13</v>
      </c>
      <c r="F7" t="s">
        <v>14</v>
      </c>
      <c r="G7">
        <v>5.15</v>
      </c>
      <c r="H7">
        <v>1.29</v>
      </c>
      <c r="I7">
        <v>5</v>
      </c>
      <c r="J7" t="s">
        <v>28</v>
      </c>
      <c r="K7">
        <v>1</v>
      </c>
      <c r="L7">
        <f t="shared" si="0"/>
        <v>0.23253012048192767</v>
      </c>
    </row>
    <row r="8" spans="1:12" x14ac:dyDescent="0.3">
      <c r="A8" t="s">
        <v>10</v>
      </c>
      <c r="B8" t="s">
        <v>24</v>
      </c>
      <c r="C8" t="s">
        <v>29</v>
      </c>
      <c r="D8" t="s">
        <v>116</v>
      </c>
      <c r="E8" t="s">
        <v>13</v>
      </c>
      <c r="F8" t="s">
        <v>14</v>
      </c>
      <c r="G8">
        <v>5.66</v>
      </c>
      <c r="H8">
        <v>1.18</v>
      </c>
      <c r="I8">
        <v>5.5</v>
      </c>
      <c r="J8" t="s">
        <v>30</v>
      </c>
      <c r="K8">
        <v>1</v>
      </c>
      <c r="L8">
        <f t="shared" si="0"/>
        <v>0.20708154506437768</v>
      </c>
    </row>
    <row r="9" spans="1:12" x14ac:dyDescent="0.3">
      <c r="A9" t="s">
        <v>31</v>
      </c>
      <c r="B9" t="s">
        <v>32</v>
      </c>
      <c r="C9" t="s">
        <v>33</v>
      </c>
      <c r="D9" t="s">
        <v>116</v>
      </c>
      <c r="E9" t="s">
        <v>13</v>
      </c>
      <c r="F9" t="s">
        <v>14</v>
      </c>
      <c r="G9">
        <v>5.15</v>
      </c>
      <c r="H9">
        <v>1.33</v>
      </c>
      <c r="I9">
        <v>5</v>
      </c>
      <c r="J9" t="s">
        <v>34</v>
      </c>
      <c r="K9">
        <v>1</v>
      </c>
      <c r="L9">
        <f t="shared" si="0"/>
        <v>0.23253012048192767</v>
      </c>
    </row>
    <row r="10" spans="1:12" x14ac:dyDescent="0.3">
      <c r="A10" t="s">
        <v>31</v>
      </c>
      <c r="B10" t="s">
        <v>24</v>
      </c>
      <c r="C10" t="s">
        <v>35</v>
      </c>
      <c r="D10" t="s">
        <v>116</v>
      </c>
      <c r="E10" t="s">
        <v>13</v>
      </c>
      <c r="F10" t="s">
        <v>14</v>
      </c>
      <c r="G10">
        <v>4.8899999999999997</v>
      </c>
      <c r="H10">
        <v>1.22</v>
      </c>
      <c r="I10">
        <v>4.75</v>
      </c>
      <c r="J10" t="s">
        <v>26</v>
      </c>
      <c r="K10">
        <v>1</v>
      </c>
      <c r="L10">
        <f t="shared" si="0"/>
        <v>0.24807197943444731</v>
      </c>
    </row>
    <row r="11" spans="1:12" x14ac:dyDescent="0.3">
      <c r="A11" t="s">
        <v>31</v>
      </c>
      <c r="B11" t="s">
        <v>16</v>
      </c>
      <c r="C11" t="s">
        <v>36</v>
      </c>
      <c r="D11" t="s">
        <v>116</v>
      </c>
      <c r="E11" t="s">
        <v>13</v>
      </c>
      <c r="F11" t="s">
        <v>14</v>
      </c>
      <c r="G11">
        <v>5.77</v>
      </c>
      <c r="H11">
        <v>1.25</v>
      </c>
      <c r="I11">
        <v>5.6</v>
      </c>
      <c r="J11" t="s">
        <v>37</v>
      </c>
      <c r="K11">
        <v>1</v>
      </c>
      <c r="L11">
        <f t="shared" si="0"/>
        <v>0.20230607966457023</v>
      </c>
    </row>
    <row r="12" spans="1:12" x14ac:dyDescent="0.3">
      <c r="A12" t="s">
        <v>31</v>
      </c>
      <c r="B12" t="s">
        <v>38</v>
      </c>
      <c r="C12" t="s">
        <v>39</v>
      </c>
      <c r="D12" t="s">
        <v>116</v>
      </c>
      <c r="E12" t="s">
        <v>13</v>
      </c>
      <c r="F12" t="s">
        <v>14</v>
      </c>
      <c r="G12">
        <v>5.15</v>
      </c>
      <c r="H12">
        <v>1.33</v>
      </c>
      <c r="I12">
        <v>5</v>
      </c>
      <c r="J12" t="s">
        <v>40</v>
      </c>
      <c r="K12">
        <v>1</v>
      </c>
      <c r="L12">
        <f t="shared" si="0"/>
        <v>0.23253012048192767</v>
      </c>
    </row>
    <row r="13" spans="1:12" x14ac:dyDescent="0.3">
      <c r="A13" t="s">
        <v>31</v>
      </c>
      <c r="B13" t="s">
        <v>41</v>
      </c>
      <c r="C13" t="s">
        <v>42</v>
      </c>
      <c r="D13" t="s">
        <v>116</v>
      </c>
      <c r="E13" t="s">
        <v>13</v>
      </c>
      <c r="F13" t="s">
        <v>14</v>
      </c>
      <c r="G13">
        <v>4.6399999999999997</v>
      </c>
      <c r="H13">
        <v>1.33</v>
      </c>
      <c r="I13">
        <v>4.5</v>
      </c>
      <c r="J13" t="s">
        <v>43</v>
      </c>
      <c r="K13">
        <v>1</v>
      </c>
      <c r="L13">
        <f t="shared" si="0"/>
        <v>0.26510989010989011</v>
      </c>
    </row>
    <row r="14" spans="1:12" x14ac:dyDescent="0.3">
      <c r="A14" t="s">
        <v>31</v>
      </c>
      <c r="B14" t="s">
        <v>44</v>
      </c>
      <c r="C14" t="s">
        <v>45</v>
      </c>
      <c r="D14" t="s">
        <v>116</v>
      </c>
      <c r="E14" t="s">
        <v>13</v>
      </c>
      <c r="F14" t="s">
        <v>14</v>
      </c>
      <c r="G14">
        <v>5.15</v>
      </c>
      <c r="H14">
        <v>1.4</v>
      </c>
      <c r="I14">
        <v>5</v>
      </c>
      <c r="J14" t="s">
        <v>40</v>
      </c>
      <c r="K14">
        <v>1</v>
      </c>
      <c r="L14">
        <f t="shared" si="0"/>
        <v>0.23253012048192767</v>
      </c>
    </row>
    <row r="15" spans="1:12" x14ac:dyDescent="0.3">
      <c r="A15" t="s">
        <v>46</v>
      </c>
      <c r="B15" t="s">
        <v>47</v>
      </c>
      <c r="C15" t="s">
        <v>48</v>
      </c>
      <c r="D15" t="s">
        <v>116</v>
      </c>
      <c r="E15" t="s">
        <v>13</v>
      </c>
      <c r="F15" t="s">
        <v>14</v>
      </c>
      <c r="G15">
        <v>7.21</v>
      </c>
      <c r="H15">
        <v>1.1200000000000001</v>
      </c>
      <c r="I15">
        <v>7</v>
      </c>
      <c r="J15" t="s">
        <v>49</v>
      </c>
      <c r="K15">
        <v>1</v>
      </c>
      <c r="L15">
        <f t="shared" si="0"/>
        <v>0.15539452495974235</v>
      </c>
    </row>
    <row r="16" spans="1:12" x14ac:dyDescent="0.3">
      <c r="A16" t="s">
        <v>46</v>
      </c>
      <c r="B16" t="s">
        <v>22</v>
      </c>
      <c r="C16" t="s">
        <v>50</v>
      </c>
      <c r="D16" t="s">
        <v>116</v>
      </c>
      <c r="E16" t="s">
        <v>13</v>
      </c>
      <c r="F16" t="s">
        <v>14</v>
      </c>
      <c r="G16">
        <v>8.24</v>
      </c>
      <c r="H16">
        <v>1.1399999999999999</v>
      </c>
      <c r="I16">
        <v>8</v>
      </c>
      <c r="J16" t="s">
        <v>51</v>
      </c>
      <c r="K16">
        <v>1</v>
      </c>
      <c r="L16">
        <f t="shared" si="0"/>
        <v>0.13328729281767954</v>
      </c>
    </row>
    <row r="17" spans="1:12" x14ac:dyDescent="0.3">
      <c r="A17" t="s">
        <v>46</v>
      </c>
      <c r="B17" t="s">
        <v>52</v>
      </c>
      <c r="C17" t="s">
        <v>53</v>
      </c>
      <c r="D17" t="s">
        <v>116</v>
      </c>
      <c r="E17" t="s">
        <v>13</v>
      </c>
      <c r="F17" t="s">
        <v>14</v>
      </c>
      <c r="G17">
        <v>6.7</v>
      </c>
      <c r="H17">
        <v>1.22</v>
      </c>
      <c r="I17">
        <v>6.5</v>
      </c>
      <c r="J17" t="s">
        <v>54</v>
      </c>
      <c r="K17">
        <v>1</v>
      </c>
      <c r="L17">
        <f t="shared" si="0"/>
        <v>0.16929824561403509</v>
      </c>
    </row>
    <row r="18" spans="1:12" x14ac:dyDescent="0.3">
      <c r="A18" t="s">
        <v>46</v>
      </c>
      <c r="B18" t="s">
        <v>55</v>
      </c>
      <c r="C18" t="s">
        <v>56</v>
      </c>
      <c r="D18" t="s">
        <v>116</v>
      </c>
      <c r="E18" t="s">
        <v>13</v>
      </c>
      <c r="F18" t="s">
        <v>14</v>
      </c>
      <c r="G18">
        <v>4.74</v>
      </c>
      <c r="H18">
        <v>1.25</v>
      </c>
      <c r="I18">
        <v>4.5999999999999996</v>
      </c>
      <c r="J18" t="s">
        <v>51</v>
      </c>
      <c r="K18">
        <v>1</v>
      </c>
      <c r="L18">
        <f t="shared" si="0"/>
        <v>0.25802139037433153</v>
      </c>
    </row>
    <row r="19" spans="1:12" x14ac:dyDescent="0.3">
      <c r="A19" t="s">
        <v>46</v>
      </c>
      <c r="B19" t="s">
        <v>22</v>
      </c>
      <c r="C19" t="s">
        <v>57</v>
      </c>
      <c r="D19" t="s">
        <v>116</v>
      </c>
      <c r="E19" t="s">
        <v>13</v>
      </c>
      <c r="F19" t="s">
        <v>14</v>
      </c>
      <c r="G19">
        <v>7.72</v>
      </c>
      <c r="H19">
        <v>1.17</v>
      </c>
      <c r="I19">
        <v>7.5</v>
      </c>
      <c r="J19" t="s">
        <v>49</v>
      </c>
      <c r="K19">
        <v>1</v>
      </c>
      <c r="L19">
        <f t="shared" si="0"/>
        <v>0.14360119047619047</v>
      </c>
    </row>
    <row r="20" spans="1:12" x14ac:dyDescent="0.3">
      <c r="A20" t="s">
        <v>46</v>
      </c>
      <c r="B20" t="s">
        <v>58</v>
      </c>
      <c r="C20" t="s">
        <v>59</v>
      </c>
      <c r="D20" t="s">
        <v>116</v>
      </c>
      <c r="E20" t="s">
        <v>13</v>
      </c>
      <c r="F20" t="s">
        <v>14</v>
      </c>
      <c r="G20">
        <v>5.41</v>
      </c>
      <c r="H20">
        <v>1.33</v>
      </c>
      <c r="I20">
        <v>5.25</v>
      </c>
      <c r="J20" t="s">
        <v>49</v>
      </c>
      <c r="K20">
        <v>1</v>
      </c>
      <c r="L20">
        <f t="shared" si="0"/>
        <v>0.21882086167800452</v>
      </c>
    </row>
    <row r="21" spans="1:12" x14ac:dyDescent="0.3">
      <c r="A21" t="s">
        <v>46</v>
      </c>
      <c r="B21" t="s">
        <v>44</v>
      </c>
      <c r="C21" t="s">
        <v>60</v>
      </c>
      <c r="D21" t="s">
        <v>116</v>
      </c>
      <c r="E21" t="s">
        <v>13</v>
      </c>
      <c r="F21" t="s">
        <v>14</v>
      </c>
      <c r="G21">
        <v>5.66</v>
      </c>
      <c r="H21">
        <v>1.33</v>
      </c>
      <c r="I21">
        <v>5.5</v>
      </c>
      <c r="J21" t="s">
        <v>30</v>
      </c>
      <c r="K21">
        <v>1</v>
      </c>
      <c r="L21">
        <f t="shared" si="0"/>
        <v>0.20708154506437768</v>
      </c>
    </row>
    <row r="22" spans="1:12" x14ac:dyDescent="0.3">
      <c r="A22" t="s">
        <v>61</v>
      </c>
      <c r="B22" t="s">
        <v>22</v>
      </c>
      <c r="C22" t="s">
        <v>62</v>
      </c>
      <c r="D22" t="s">
        <v>116</v>
      </c>
      <c r="E22" t="s">
        <v>13</v>
      </c>
      <c r="F22" t="s">
        <v>14</v>
      </c>
      <c r="G22">
        <v>5.15</v>
      </c>
      <c r="H22">
        <v>1.38</v>
      </c>
      <c r="I22">
        <v>5</v>
      </c>
      <c r="J22" t="s">
        <v>63</v>
      </c>
      <c r="K22">
        <v>1</v>
      </c>
      <c r="L22">
        <f t="shared" si="0"/>
        <v>0.23253012048192767</v>
      </c>
    </row>
    <row r="23" spans="1:12" x14ac:dyDescent="0.3">
      <c r="A23" t="s">
        <v>61</v>
      </c>
      <c r="B23" t="s">
        <v>22</v>
      </c>
      <c r="C23" t="s">
        <v>64</v>
      </c>
      <c r="D23" t="s">
        <v>116</v>
      </c>
      <c r="E23" t="s">
        <v>13</v>
      </c>
      <c r="F23" t="s">
        <v>14</v>
      </c>
      <c r="G23">
        <v>9.27</v>
      </c>
      <c r="H23">
        <v>1.1299999999999999</v>
      </c>
      <c r="I23">
        <v>9</v>
      </c>
      <c r="J23" t="s">
        <v>65</v>
      </c>
      <c r="K23">
        <v>0</v>
      </c>
      <c r="L23">
        <f t="shared" si="0"/>
        <v>-1</v>
      </c>
    </row>
    <row r="24" spans="1:12" x14ac:dyDescent="0.3">
      <c r="A24" t="s">
        <v>61</v>
      </c>
      <c r="B24" t="s">
        <v>22</v>
      </c>
      <c r="C24" t="s">
        <v>66</v>
      </c>
      <c r="D24" t="s">
        <v>116</v>
      </c>
      <c r="E24" t="s">
        <v>13</v>
      </c>
      <c r="F24" t="s">
        <v>14</v>
      </c>
      <c r="G24">
        <v>6.18</v>
      </c>
      <c r="H24">
        <v>1.3</v>
      </c>
      <c r="I24">
        <v>6</v>
      </c>
      <c r="J24" t="s">
        <v>40</v>
      </c>
      <c r="K24">
        <v>1</v>
      </c>
      <c r="L24">
        <f t="shared" si="0"/>
        <v>0.18629343629343631</v>
      </c>
    </row>
    <row r="25" spans="1:12" x14ac:dyDescent="0.3">
      <c r="A25" t="s">
        <v>61</v>
      </c>
      <c r="B25" t="s">
        <v>22</v>
      </c>
      <c r="C25" t="s">
        <v>67</v>
      </c>
      <c r="D25" t="s">
        <v>116</v>
      </c>
      <c r="E25" t="s">
        <v>13</v>
      </c>
      <c r="F25" t="s">
        <v>14</v>
      </c>
      <c r="G25">
        <v>7.21</v>
      </c>
      <c r="H25">
        <v>1.2</v>
      </c>
      <c r="I25">
        <v>7</v>
      </c>
      <c r="J25" t="s">
        <v>54</v>
      </c>
      <c r="K25">
        <v>1</v>
      </c>
      <c r="L25">
        <f t="shared" si="0"/>
        <v>0.15539452495974235</v>
      </c>
    </row>
    <row r="26" spans="1:12" x14ac:dyDescent="0.3">
      <c r="A26" t="s">
        <v>68</v>
      </c>
      <c r="B26" t="s">
        <v>11</v>
      </c>
      <c r="C26" t="s">
        <v>69</v>
      </c>
      <c r="D26" t="s">
        <v>116</v>
      </c>
      <c r="E26" t="s">
        <v>13</v>
      </c>
      <c r="F26" t="s">
        <v>14</v>
      </c>
      <c r="G26">
        <v>5.66</v>
      </c>
      <c r="H26">
        <v>1.22</v>
      </c>
      <c r="I26">
        <v>5.5</v>
      </c>
      <c r="J26" t="s">
        <v>70</v>
      </c>
      <c r="K26">
        <v>1</v>
      </c>
      <c r="L26">
        <f t="shared" si="0"/>
        <v>0.20708154506437768</v>
      </c>
    </row>
    <row r="27" spans="1:12" x14ac:dyDescent="0.3">
      <c r="A27" t="s">
        <v>68</v>
      </c>
      <c r="B27" t="s">
        <v>71</v>
      </c>
      <c r="C27" t="s">
        <v>72</v>
      </c>
      <c r="D27" t="s">
        <v>116</v>
      </c>
      <c r="E27" t="s">
        <v>13</v>
      </c>
      <c r="F27" t="s">
        <v>14</v>
      </c>
      <c r="G27">
        <v>4.8899999999999997</v>
      </c>
      <c r="H27">
        <v>1.39</v>
      </c>
      <c r="I27">
        <v>4.75</v>
      </c>
      <c r="J27" t="s">
        <v>28</v>
      </c>
      <c r="K27">
        <v>1</v>
      </c>
      <c r="L27">
        <f t="shared" si="0"/>
        <v>0.24807197943444731</v>
      </c>
    </row>
    <row r="28" spans="1:12" x14ac:dyDescent="0.3">
      <c r="A28" t="s">
        <v>73</v>
      </c>
      <c r="B28" t="s">
        <v>71</v>
      </c>
      <c r="C28" t="s">
        <v>74</v>
      </c>
      <c r="D28" t="s">
        <v>116</v>
      </c>
      <c r="E28" t="s">
        <v>13</v>
      </c>
      <c r="F28" t="s">
        <v>14</v>
      </c>
      <c r="G28">
        <v>5.41</v>
      </c>
      <c r="H28">
        <v>1.3</v>
      </c>
      <c r="I28">
        <v>5.25</v>
      </c>
      <c r="J28" t="s">
        <v>15</v>
      </c>
      <c r="K28">
        <v>1</v>
      </c>
      <c r="L28">
        <f t="shared" si="0"/>
        <v>0.21882086167800452</v>
      </c>
    </row>
    <row r="29" spans="1:12" x14ac:dyDescent="0.3">
      <c r="A29" t="s">
        <v>75</v>
      </c>
      <c r="B29" t="s">
        <v>76</v>
      </c>
      <c r="C29" t="s">
        <v>77</v>
      </c>
      <c r="D29" t="s">
        <v>116</v>
      </c>
      <c r="E29" t="s">
        <v>13</v>
      </c>
      <c r="F29" t="s">
        <v>14</v>
      </c>
      <c r="G29">
        <v>5.15</v>
      </c>
      <c r="H29">
        <v>1.3</v>
      </c>
      <c r="I29">
        <v>5</v>
      </c>
      <c r="J29" t="s">
        <v>78</v>
      </c>
      <c r="K29">
        <v>1</v>
      </c>
      <c r="L29">
        <f t="shared" si="0"/>
        <v>0.23253012048192767</v>
      </c>
    </row>
    <row r="30" spans="1:12" x14ac:dyDescent="0.3">
      <c r="A30" t="s">
        <v>75</v>
      </c>
      <c r="B30" t="s">
        <v>76</v>
      </c>
      <c r="C30" t="s">
        <v>79</v>
      </c>
      <c r="D30" t="s">
        <v>116</v>
      </c>
      <c r="E30" t="s">
        <v>13</v>
      </c>
      <c r="F30" t="s">
        <v>14</v>
      </c>
      <c r="G30">
        <v>4.8899999999999997</v>
      </c>
      <c r="H30">
        <v>1.36</v>
      </c>
      <c r="I30">
        <v>4.75</v>
      </c>
      <c r="J30" t="s">
        <v>28</v>
      </c>
      <c r="K30">
        <v>1</v>
      </c>
      <c r="L30">
        <f t="shared" si="0"/>
        <v>0.24807197943444731</v>
      </c>
    </row>
    <row r="31" spans="1:12" x14ac:dyDescent="0.3">
      <c r="A31" t="s">
        <v>80</v>
      </c>
      <c r="B31" t="s">
        <v>81</v>
      </c>
      <c r="C31" t="s">
        <v>82</v>
      </c>
      <c r="D31" t="s">
        <v>116</v>
      </c>
      <c r="E31" t="s">
        <v>13</v>
      </c>
      <c r="F31" t="s">
        <v>14</v>
      </c>
      <c r="G31">
        <v>4.6399999999999997</v>
      </c>
      <c r="H31">
        <v>1.4</v>
      </c>
      <c r="I31">
        <v>4.5</v>
      </c>
      <c r="J31" t="s">
        <v>40</v>
      </c>
      <c r="K31">
        <v>1</v>
      </c>
      <c r="L31">
        <f t="shared" si="0"/>
        <v>0.26510989010989011</v>
      </c>
    </row>
    <row r="32" spans="1:12" x14ac:dyDescent="0.3">
      <c r="A32" t="s">
        <v>80</v>
      </c>
      <c r="B32" t="s">
        <v>83</v>
      </c>
      <c r="C32" t="s">
        <v>84</v>
      </c>
      <c r="D32" t="s">
        <v>116</v>
      </c>
      <c r="E32" t="s">
        <v>13</v>
      </c>
      <c r="F32" t="s">
        <v>14</v>
      </c>
      <c r="G32">
        <v>4.8899999999999997</v>
      </c>
      <c r="H32">
        <v>1.3</v>
      </c>
      <c r="I32">
        <v>4.75</v>
      </c>
      <c r="J32" t="s">
        <v>43</v>
      </c>
      <c r="K32">
        <v>1</v>
      </c>
      <c r="L32">
        <f t="shared" si="0"/>
        <v>0.24807197943444731</v>
      </c>
    </row>
    <row r="33" spans="1:12" x14ac:dyDescent="0.3">
      <c r="A33" t="s">
        <v>80</v>
      </c>
      <c r="B33" t="s">
        <v>11</v>
      </c>
      <c r="C33" t="s">
        <v>85</v>
      </c>
      <c r="D33" t="s">
        <v>116</v>
      </c>
      <c r="E33" t="s">
        <v>13</v>
      </c>
      <c r="F33" t="s">
        <v>14</v>
      </c>
      <c r="G33">
        <v>4.6399999999999997</v>
      </c>
      <c r="H33">
        <v>1.29</v>
      </c>
      <c r="I33">
        <v>4.5</v>
      </c>
      <c r="J33" t="s">
        <v>86</v>
      </c>
      <c r="K33">
        <v>1</v>
      </c>
      <c r="L33">
        <f t="shared" si="0"/>
        <v>0.26510989010989011</v>
      </c>
    </row>
    <row r="34" spans="1:12" x14ac:dyDescent="0.3">
      <c r="A34" t="s">
        <v>80</v>
      </c>
      <c r="B34" t="s">
        <v>24</v>
      </c>
      <c r="C34" t="s">
        <v>87</v>
      </c>
      <c r="D34" t="s">
        <v>116</v>
      </c>
      <c r="E34" t="s">
        <v>13</v>
      </c>
      <c r="F34" t="s">
        <v>14</v>
      </c>
      <c r="G34">
        <v>6.18</v>
      </c>
      <c r="H34">
        <v>1.1499999999999999</v>
      </c>
      <c r="I34">
        <v>6</v>
      </c>
      <c r="J34" t="s">
        <v>88</v>
      </c>
      <c r="K34">
        <v>1</v>
      </c>
      <c r="L34">
        <f t="shared" si="0"/>
        <v>0.18629343629343631</v>
      </c>
    </row>
    <row r="35" spans="1:12" x14ac:dyDescent="0.3">
      <c r="A35" t="s">
        <v>80</v>
      </c>
      <c r="B35" t="s">
        <v>89</v>
      </c>
      <c r="C35" t="s">
        <v>90</v>
      </c>
      <c r="D35" t="s">
        <v>116</v>
      </c>
      <c r="E35" t="s">
        <v>13</v>
      </c>
      <c r="F35" t="s">
        <v>14</v>
      </c>
      <c r="G35">
        <v>5.66</v>
      </c>
      <c r="H35">
        <v>1.3</v>
      </c>
      <c r="I35">
        <v>5.5</v>
      </c>
      <c r="J35" t="s">
        <v>15</v>
      </c>
      <c r="K35">
        <v>1</v>
      </c>
      <c r="L35">
        <f t="shared" si="0"/>
        <v>0.20708154506437768</v>
      </c>
    </row>
    <row r="36" spans="1:12" x14ac:dyDescent="0.3">
      <c r="A36" t="s">
        <v>91</v>
      </c>
      <c r="B36" t="s">
        <v>92</v>
      </c>
      <c r="C36" t="s">
        <v>93</v>
      </c>
      <c r="D36" t="s">
        <v>116</v>
      </c>
      <c r="E36" t="s">
        <v>13</v>
      </c>
      <c r="F36" t="s">
        <v>14</v>
      </c>
      <c r="G36">
        <v>6.08</v>
      </c>
      <c r="H36">
        <v>1.35</v>
      </c>
      <c r="I36">
        <v>5.9</v>
      </c>
      <c r="J36" t="s">
        <v>109</v>
      </c>
      <c r="K36">
        <v>0</v>
      </c>
      <c r="L36">
        <f>IF(K36=1,0.965/(G36-1),-1)</f>
        <v>-1</v>
      </c>
    </row>
    <row r="37" spans="1:12" x14ac:dyDescent="0.3">
      <c r="A37" t="s">
        <v>91</v>
      </c>
      <c r="B37" t="s">
        <v>94</v>
      </c>
      <c r="C37" t="s">
        <v>95</v>
      </c>
      <c r="D37" t="s">
        <v>116</v>
      </c>
      <c r="E37" t="s">
        <v>13</v>
      </c>
      <c r="F37" t="s">
        <v>14</v>
      </c>
      <c r="G37">
        <v>6.8</v>
      </c>
      <c r="H37">
        <v>1.22</v>
      </c>
      <c r="I37">
        <v>6.6</v>
      </c>
      <c r="J37" t="s">
        <v>110</v>
      </c>
      <c r="K37">
        <v>1</v>
      </c>
      <c r="L37">
        <f t="shared" si="0"/>
        <v>0.16637931034482759</v>
      </c>
    </row>
    <row r="38" spans="1:12" x14ac:dyDescent="0.3">
      <c r="A38" t="s">
        <v>91</v>
      </c>
      <c r="B38" t="s">
        <v>96</v>
      </c>
      <c r="C38" t="s">
        <v>97</v>
      </c>
      <c r="D38" t="s">
        <v>116</v>
      </c>
      <c r="E38" t="s">
        <v>13</v>
      </c>
      <c r="F38" t="s">
        <v>14</v>
      </c>
      <c r="G38">
        <v>5.67</v>
      </c>
      <c r="H38">
        <v>1.34</v>
      </c>
      <c r="I38">
        <v>5.5</v>
      </c>
      <c r="J38" t="s">
        <v>111</v>
      </c>
      <c r="K38">
        <v>1</v>
      </c>
      <c r="L38">
        <f t="shared" si="0"/>
        <v>0.20663811563169165</v>
      </c>
    </row>
    <row r="39" spans="1:12" x14ac:dyDescent="0.3">
      <c r="A39" t="s">
        <v>98</v>
      </c>
      <c r="B39" t="s">
        <v>99</v>
      </c>
      <c r="C39" t="s">
        <v>100</v>
      </c>
      <c r="D39" t="s">
        <v>116</v>
      </c>
      <c r="E39" t="s">
        <v>13</v>
      </c>
      <c r="F39" t="s">
        <v>14</v>
      </c>
      <c r="G39">
        <v>6.18</v>
      </c>
      <c r="H39">
        <v>1.28</v>
      </c>
      <c r="I39">
        <v>6</v>
      </c>
      <c r="J39" t="s">
        <v>111</v>
      </c>
      <c r="K39">
        <v>1</v>
      </c>
      <c r="L39">
        <f t="shared" si="0"/>
        <v>0.18629343629343631</v>
      </c>
    </row>
    <row r="40" spans="1:12" x14ac:dyDescent="0.3">
      <c r="A40" t="s">
        <v>98</v>
      </c>
      <c r="B40" t="s">
        <v>52</v>
      </c>
      <c r="C40" t="s">
        <v>101</v>
      </c>
      <c r="D40" t="s">
        <v>116</v>
      </c>
      <c r="E40" t="s">
        <v>13</v>
      </c>
      <c r="F40" t="s">
        <v>14</v>
      </c>
      <c r="G40">
        <v>6.59</v>
      </c>
      <c r="H40">
        <v>1.32</v>
      </c>
      <c r="I40">
        <v>6.4</v>
      </c>
      <c r="J40" t="s">
        <v>112</v>
      </c>
      <c r="K40">
        <v>1</v>
      </c>
      <c r="L40">
        <f t="shared" si="0"/>
        <v>0.17262969588550983</v>
      </c>
    </row>
    <row r="41" spans="1:12" x14ac:dyDescent="0.3">
      <c r="A41" t="s">
        <v>98</v>
      </c>
      <c r="B41" t="s">
        <v>102</v>
      </c>
      <c r="C41" t="s">
        <v>103</v>
      </c>
      <c r="D41" t="s">
        <v>116</v>
      </c>
      <c r="E41" t="s">
        <v>13</v>
      </c>
      <c r="F41" t="s">
        <v>14</v>
      </c>
      <c r="G41">
        <v>5.77</v>
      </c>
      <c r="H41">
        <v>1.34</v>
      </c>
      <c r="I41">
        <v>5.6</v>
      </c>
      <c r="J41" t="s">
        <v>113</v>
      </c>
      <c r="K41">
        <v>0</v>
      </c>
      <c r="L41">
        <f t="shared" si="0"/>
        <v>-1</v>
      </c>
    </row>
    <row r="42" spans="1:12" x14ac:dyDescent="0.3">
      <c r="A42" t="s">
        <v>98</v>
      </c>
      <c r="B42" t="s">
        <v>104</v>
      </c>
      <c r="C42" t="s">
        <v>105</v>
      </c>
      <c r="D42" t="s">
        <v>116</v>
      </c>
      <c r="E42" t="s">
        <v>13</v>
      </c>
      <c r="F42" t="s">
        <v>14</v>
      </c>
      <c r="G42">
        <v>5.46</v>
      </c>
      <c r="H42">
        <v>1.29</v>
      </c>
      <c r="I42">
        <v>5.3</v>
      </c>
      <c r="J42" t="s">
        <v>109</v>
      </c>
      <c r="K42">
        <v>0</v>
      </c>
      <c r="L42">
        <f t="shared" si="0"/>
        <v>-1</v>
      </c>
    </row>
    <row r="43" spans="1:12" x14ac:dyDescent="0.3">
      <c r="A43" t="s">
        <v>106</v>
      </c>
      <c r="B43" t="s">
        <v>107</v>
      </c>
      <c r="C43" t="s">
        <v>108</v>
      </c>
      <c r="D43" t="s">
        <v>116</v>
      </c>
      <c r="E43" t="s">
        <v>13</v>
      </c>
      <c r="F43" t="s">
        <v>14</v>
      </c>
      <c r="G43">
        <v>5.25</v>
      </c>
      <c r="H43">
        <v>1.06</v>
      </c>
      <c r="I43">
        <v>5.0999999999999996</v>
      </c>
      <c r="J43" t="s">
        <v>111</v>
      </c>
      <c r="K43">
        <v>1</v>
      </c>
      <c r="L43">
        <f t="shared" si="0"/>
        <v>0.22705882352941176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2026-09-01T01:43:39Z</dcterms:created>
  <dcterms:modified xsi:type="dcterms:W3CDTF">2026-09-01T01:52:24Z</dcterms:modified>
</cp:coreProperties>
</file>