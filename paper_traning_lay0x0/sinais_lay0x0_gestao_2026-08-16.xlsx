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5" documentId="11_698D1C8D57096754FFDA3D11595ED87656CD9E3E" xr6:coauthVersionLast="47" xr6:coauthVersionMax="47" xr10:uidLastSave="{066AECA0-600F-4AF9-98EF-03DBD4F71352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" i="1"/>
</calcChain>
</file>

<file path=xl/sharedStrings.xml><?xml version="1.0" encoding="utf-8"?>
<sst xmlns="http://schemas.openxmlformats.org/spreadsheetml/2006/main" count="189" uniqueCount="103">
  <si>
    <t>Data</t>
  </si>
  <si>
    <t>Horário</t>
  </si>
  <si>
    <t>Liga</t>
  </si>
  <si>
    <t>Mandante</t>
  </si>
  <si>
    <t>Visitante</t>
  </si>
  <si>
    <t>Odd Lay Betfair</t>
  </si>
  <si>
    <t>Probabilidade ML</t>
  </si>
  <si>
    <t>liga_0x0_rate</t>
  </si>
  <si>
    <t>mkt_prob_0x0</t>
  </si>
  <si>
    <t>Responsabilidade (R$)</t>
  </si>
  <si>
    <t>Stake Back Betfair (R$)</t>
  </si>
  <si>
    <t>Resultado</t>
  </si>
  <si>
    <t>Lucro (R$)</t>
  </si>
  <si>
    <t>Estratégia</t>
  </si>
  <si>
    <t>2026-08-16</t>
  </si>
  <si>
    <t>08:00</t>
  </si>
  <si>
    <t>SWEDEN 2</t>
  </si>
  <si>
    <t>Varnamo</t>
  </si>
  <si>
    <t>Ostersunds FK</t>
  </si>
  <si>
    <t>98.6%</t>
  </si>
  <si>
    <t>XGBoost (Lay 0x0)</t>
  </si>
  <si>
    <t>09:00</t>
  </si>
  <si>
    <t>SWEDEN 1</t>
  </si>
  <si>
    <t>Degerfors</t>
  </si>
  <si>
    <t>IFK Goteborg</t>
  </si>
  <si>
    <t>93.8%</t>
  </si>
  <si>
    <t>11:00</t>
  </si>
  <si>
    <t>BRAZIL 1</t>
  </si>
  <si>
    <t>Chapecoense</t>
  </si>
  <si>
    <t>Bahia</t>
  </si>
  <si>
    <t>98.5%</t>
  </si>
  <si>
    <t>FINLAND 1</t>
  </si>
  <si>
    <t>AC Oulu</t>
  </si>
  <si>
    <t>FC Inter Turku</t>
  </si>
  <si>
    <t>Lahti</t>
  </si>
  <si>
    <t>KuPS</t>
  </si>
  <si>
    <t>98.8%</t>
  </si>
  <si>
    <t>12:00</t>
  </si>
  <si>
    <t>AUSTRIA 1</t>
  </si>
  <si>
    <t>Hartberg</t>
  </si>
  <si>
    <t>Austria Wien</t>
  </si>
  <si>
    <t>98.7%</t>
  </si>
  <si>
    <t>SPAIN 1</t>
  </si>
  <si>
    <t>Racing Santander</t>
  </si>
  <si>
    <t>Villarreal</t>
  </si>
  <si>
    <t>13:00</t>
  </si>
  <si>
    <t>PERU 1</t>
  </si>
  <si>
    <t>Sporting Cristal</t>
  </si>
  <si>
    <t>Sport Huancayo</t>
  </si>
  <si>
    <t>96.2%</t>
  </si>
  <si>
    <t>TURKEY 2</t>
  </si>
  <si>
    <t>Kayserispor</t>
  </si>
  <si>
    <t>Sivasspor</t>
  </si>
  <si>
    <t>96.5%</t>
  </si>
  <si>
    <t>Keciorengucu</t>
  </si>
  <si>
    <t>Pendikspor</t>
  </si>
  <si>
    <t>13:30</t>
  </si>
  <si>
    <t>CHILE 1</t>
  </si>
  <si>
    <t>Nublense</t>
  </si>
  <si>
    <t>Union La Calera</t>
  </si>
  <si>
    <t>97.6%</t>
  </si>
  <si>
    <t>14:00</t>
  </si>
  <si>
    <t>SLOVAKIA 1</t>
  </si>
  <si>
    <t>KFC Komarno</t>
  </si>
  <si>
    <t>Dunajska Streda</t>
  </si>
  <si>
    <t>97.2%</t>
  </si>
  <si>
    <t>Espanyol</t>
  </si>
  <si>
    <t>Levante</t>
  </si>
  <si>
    <t>100.0%</t>
  </si>
  <si>
    <t>SPAIN 2</t>
  </si>
  <si>
    <t>Burgos</t>
  </si>
  <si>
    <t>Cordoba</t>
  </si>
  <si>
    <t>Girona</t>
  </si>
  <si>
    <t>Leganes</t>
  </si>
  <si>
    <t>14:15</t>
  </si>
  <si>
    <t>NORWAY 1</t>
  </si>
  <si>
    <t>Fredrikstad</t>
  </si>
  <si>
    <t>Kristiansund</t>
  </si>
  <si>
    <t>16:00</t>
  </si>
  <si>
    <t>Atletico MG</t>
  </si>
  <si>
    <t>Gremio</t>
  </si>
  <si>
    <t>Vasco da Gama</t>
  </si>
  <si>
    <t>Santos</t>
  </si>
  <si>
    <t>CHILE 2</t>
  </si>
  <si>
    <t>Union San Felipe</t>
  </si>
  <si>
    <t>Cobreloa Calama</t>
  </si>
  <si>
    <t>Cobresal</t>
  </si>
  <si>
    <t>Deportes Concepcion</t>
  </si>
  <si>
    <t>16:30</t>
  </si>
  <si>
    <t>Las Palmas</t>
  </si>
  <si>
    <t>Albacete</t>
  </si>
  <si>
    <t>18:30</t>
  </si>
  <si>
    <t>Mirassol</t>
  </si>
  <si>
    <t>Flamengo</t>
  </si>
  <si>
    <t>99.5%</t>
  </si>
  <si>
    <t>Colo Colo</t>
  </si>
  <si>
    <t>OHiggins</t>
  </si>
  <si>
    <t>20:30</t>
  </si>
  <si>
    <t>Cienciano</t>
  </si>
  <si>
    <t>Deportivo Garcilaso</t>
  </si>
  <si>
    <t>21:00</t>
  </si>
  <si>
    <t>Deportes Iquique</t>
  </si>
  <si>
    <t>Antofagasta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</si>
</sst>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A7" workbookViewId="0">
      <selection activeCell="O26" sqref="O26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16.5</v>
      </c>
      <c r="G2" t="s">
        <v>19</v>
      </c>
      <c r="H2">
        <v>0.04</v>
      </c>
      <c r="I2">
        <v>6.0600000000000001E-2</v>
      </c>
      <c r="J2">
        <v>25</v>
      </c>
      <c r="K2">
        <v>1.61</v>
      </c>
      <c r="L2" t="str">
        <f>IF(O2=1,"GREEN", "RED")</f>
        <v>GREEN</v>
      </c>
      <c r="N2" t="s">
        <v>20</v>
      </c>
      <c r="O2">
        <v>1</v>
      </c>
    </row>
    <row r="3" spans="1:15" x14ac:dyDescent="0.3">
      <c r="A3" t="s">
        <v>14</v>
      </c>
      <c r="B3" t="s">
        <v>21</v>
      </c>
      <c r="C3" t="s">
        <v>22</v>
      </c>
      <c r="D3" t="s">
        <v>23</v>
      </c>
      <c r="E3" t="s">
        <v>24</v>
      </c>
      <c r="F3">
        <v>15</v>
      </c>
      <c r="G3" t="s">
        <v>25</v>
      </c>
      <c r="H3">
        <v>0.03</v>
      </c>
      <c r="I3">
        <v>6.6699999999999995E-2</v>
      </c>
      <c r="J3">
        <v>6.08</v>
      </c>
      <c r="K3">
        <v>0.43</v>
      </c>
      <c r="L3" t="str">
        <f t="shared" ref="L3:L26" si="0">IF(O3=1,"GREEN", "RED")</f>
        <v>GREEN</v>
      </c>
      <c r="N3" t="s">
        <v>20</v>
      </c>
      <c r="O3">
        <v>1</v>
      </c>
    </row>
    <row r="4" spans="1:15" x14ac:dyDescent="0.3">
      <c r="A4" t="s">
        <v>14</v>
      </c>
      <c r="B4" t="s">
        <v>26</v>
      </c>
      <c r="C4" t="s">
        <v>27</v>
      </c>
      <c r="D4" t="s">
        <v>28</v>
      </c>
      <c r="E4" t="s">
        <v>29</v>
      </c>
      <c r="F4">
        <v>14</v>
      </c>
      <c r="G4" t="s">
        <v>30</v>
      </c>
      <c r="H4">
        <v>0.05</v>
      </c>
      <c r="I4">
        <v>7.1400000000000005E-2</v>
      </c>
      <c r="J4">
        <v>25</v>
      </c>
      <c r="K4">
        <v>1.92</v>
      </c>
      <c r="L4" t="str">
        <f t="shared" si="0"/>
        <v>GREEN</v>
      </c>
      <c r="N4" t="s">
        <v>20</v>
      </c>
      <c r="O4">
        <v>1</v>
      </c>
    </row>
    <row r="5" spans="1:15" x14ac:dyDescent="0.3">
      <c r="A5" t="s">
        <v>14</v>
      </c>
      <c r="B5" t="s">
        <v>26</v>
      </c>
      <c r="C5" t="s">
        <v>31</v>
      </c>
      <c r="D5" t="s">
        <v>32</v>
      </c>
      <c r="E5" t="s">
        <v>33</v>
      </c>
      <c r="F5">
        <v>13</v>
      </c>
      <c r="G5" t="s">
        <v>30</v>
      </c>
      <c r="H5">
        <v>0.06</v>
      </c>
      <c r="I5">
        <v>7.6899999999999996E-2</v>
      </c>
      <c r="J5">
        <v>25</v>
      </c>
      <c r="K5">
        <v>2.08</v>
      </c>
      <c r="L5" t="str">
        <f t="shared" si="0"/>
        <v>GREEN</v>
      </c>
      <c r="N5" t="s">
        <v>20</v>
      </c>
      <c r="O5">
        <v>1</v>
      </c>
    </row>
    <row r="6" spans="1:15" x14ac:dyDescent="0.3">
      <c r="A6" t="s">
        <v>14</v>
      </c>
      <c r="B6" t="s">
        <v>26</v>
      </c>
      <c r="C6" t="s">
        <v>31</v>
      </c>
      <c r="D6" t="s">
        <v>34</v>
      </c>
      <c r="E6" t="s">
        <v>35</v>
      </c>
      <c r="F6">
        <v>14.5</v>
      </c>
      <c r="G6" t="s">
        <v>36</v>
      </c>
      <c r="H6">
        <v>0.06</v>
      </c>
      <c r="I6">
        <v>6.9000000000000006E-2</v>
      </c>
      <c r="J6">
        <v>25</v>
      </c>
      <c r="K6">
        <v>1.85</v>
      </c>
      <c r="L6" t="str">
        <f t="shared" si="0"/>
        <v>GREEN</v>
      </c>
      <c r="N6" t="s">
        <v>20</v>
      </c>
      <c r="O6">
        <v>1</v>
      </c>
    </row>
    <row r="7" spans="1:15" x14ac:dyDescent="0.3">
      <c r="A7" t="s">
        <v>14</v>
      </c>
      <c r="B7" t="s">
        <v>37</v>
      </c>
      <c r="C7" t="s">
        <v>38</v>
      </c>
      <c r="D7" t="s">
        <v>39</v>
      </c>
      <c r="E7" t="s">
        <v>40</v>
      </c>
      <c r="F7">
        <v>13</v>
      </c>
      <c r="G7" t="s">
        <v>41</v>
      </c>
      <c r="H7">
        <v>7.0000000000000007E-2</v>
      </c>
      <c r="I7">
        <v>7.6899999999999996E-2</v>
      </c>
      <c r="J7">
        <v>25</v>
      </c>
      <c r="K7">
        <v>2.08</v>
      </c>
      <c r="L7" t="str">
        <f t="shared" si="0"/>
        <v>GREEN</v>
      </c>
      <c r="N7" t="s">
        <v>20</v>
      </c>
      <c r="O7">
        <v>1</v>
      </c>
    </row>
    <row r="8" spans="1:15" x14ac:dyDescent="0.3">
      <c r="A8" t="s">
        <v>14</v>
      </c>
      <c r="B8" t="s">
        <v>37</v>
      </c>
      <c r="C8" t="s">
        <v>42</v>
      </c>
      <c r="D8" t="s">
        <v>43</v>
      </c>
      <c r="E8" t="s">
        <v>44</v>
      </c>
      <c r="F8">
        <v>17</v>
      </c>
      <c r="G8" t="s">
        <v>30</v>
      </c>
      <c r="H8">
        <v>0.03</v>
      </c>
      <c r="I8">
        <v>5.8799999999999998E-2</v>
      </c>
      <c r="J8">
        <v>25</v>
      </c>
      <c r="K8">
        <v>1.56</v>
      </c>
      <c r="L8" t="str">
        <f t="shared" si="0"/>
        <v>GREEN</v>
      </c>
      <c r="N8" t="s">
        <v>20</v>
      </c>
      <c r="O8">
        <v>1</v>
      </c>
    </row>
    <row r="9" spans="1:15" x14ac:dyDescent="0.3">
      <c r="A9" t="s">
        <v>14</v>
      </c>
      <c r="B9" t="s">
        <v>45</v>
      </c>
      <c r="C9" t="s">
        <v>46</v>
      </c>
      <c r="D9" t="s">
        <v>47</v>
      </c>
      <c r="E9" t="s">
        <v>48</v>
      </c>
      <c r="F9">
        <v>20</v>
      </c>
      <c r="G9" t="s">
        <v>49</v>
      </c>
      <c r="H9">
        <v>7.0000000000000007E-2</v>
      </c>
      <c r="I9">
        <v>0.05</v>
      </c>
      <c r="J9">
        <v>25</v>
      </c>
      <c r="K9">
        <v>1.32</v>
      </c>
      <c r="L9" t="str">
        <f t="shared" si="0"/>
        <v>GREEN</v>
      </c>
      <c r="N9" t="s">
        <v>20</v>
      </c>
      <c r="O9">
        <v>1</v>
      </c>
    </row>
    <row r="10" spans="1:15" x14ac:dyDescent="0.3">
      <c r="A10" t="s">
        <v>14</v>
      </c>
      <c r="B10" t="s">
        <v>45</v>
      </c>
      <c r="C10" t="s">
        <v>50</v>
      </c>
      <c r="D10" t="s">
        <v>51</v>
      </c>
      <c r="E10" t="s">
        <v>52</v>
      </c>
      <c r="F10">
        <v>17</v>
      </c>
      <c r="G10" t="s">
        <v>53</v>
      </c>
      <c r="H10">
        <v>7.0000000000000007E-2</v>
      </c>
      <c r="I10">
        <v>5.8799999999999998E-2</v>
      </c>
      <c r="J10">
        <v>25</v>
      </c>
      <c r="K10">
        <v>1.56</v>
      </c>
      <c r="L10" t="str">
        <f t="shared" si="0"/>
        <v>GREEN</v>
      </c>
      <c r="N10" t="s">
        <v>20</v>
      </c>
      <c r="O10">
        <v>1</v>
      </c>
    </row>
    <row r="11" spans="1:15" x14ac:dyDescent="0.3">
      <c r="A11" t="s">
        <v>14</v>
      </c>
      <c r="B11" t="s">
        <v>45</v>
      </c>
      <c r="C11" t="s">
        <v>50</v>
      </c>
      <c r="D11" t="s">
        <v>54</v>
      </c>
      <c r="E11" t="s">
        <v>55</v>
      </c>
      <c r="F11">
        <v>15.5</v>
      </c>
      <c r="G11" t="s">
        <v>30</v>
      </c>
      <c r="H11">
        <v>7.0000000000000007E-2</v>
      </c>
      <c r="I11">
        <v>6.4500000000000002E-2</v>
      </c>
      <c r="J11">
        <v>25</v>
      </c>
      <c r="K11">
        <v>1.72</v>
      </c>
      <c r="L11" t="str">
        <f t="shared" si="0"/>
        <v>GREEN</v>
      </c>
      <c r="N11" t="s">
        <v>20</v>
      </c>
      <c r="O11">
        <v>1</v>
      </c>
    </row>
    <row r="12" spans="1:15" x14ac:dyDescent="0.3">
      <c r="A12" t="s">
        <v>14</v>
      </c>
      <c r="B12" t="s">
        <v>56</v>
      </c>
      <c r="C12" t="s">
        <v>57</v>
      </c>
      <c r="D12" t="s">
        <v>58</v>
      </c>
      <c r="E12" t="s">
        <v>59</v>
      </c>
      <c r="F12">
        <v>12</v>
      </c>
      <c r="G12" t="s">
        <v>60</v>
      </c>
      <c r="H12">
        <v>0.06</v>
      </c>
      <c r="I12">
        <v>8.3299999999999999E-2</v>
      </c>
      <c r="J12">
        <v>25</v>
      </c>
      <c r="K12">
        <v>2.27</v>
      </c>
      <c r="L12" t="str">
        <f t="shared" si="0"/>
        <v>GREEN</v>
      </c>
      <c r="N12" t="s">
        <v>20</v>
      </c>
      <c r="O12">
        <v>1</v>
      </c>
    </row>
    <row r="13" spans="1:15" x14ac:dyDescent="0.3">
      <c r="A13" t="s">
        <v>14</v>
      </c>
      <c r="B13" t="s">
        <v>61</v>
      </c>
      <c r="C13" t="s">
        <v>62</v>
      </c>
      <c r="D13" t="s">
        <v>63</v>
      </c>
      <c r="E13" t="s">
        <v>64</v>
      </c>
      <c r="F13">
        <v>13.5</v>
      </c>
      <c r="G13" t="s">
        <v>65</v>
      </c>
      <c r="H13">
        <v>7.0000000000000007E-2</v>
      </c>
      <c r="I13">
        <v>7.4099999999999999E-2</v>
      </c>
      <c r="J13">
        <v>25</v>
      </c>
      <c r="K13">
        <v>2</v>
      </c>
      <c r="L13" t="str">
        <f t="shared" si="0"/>
        <v>GREEN</v>
      </c>
      <c r="N13" t="s">
        <v>20</v>
      </c>
      <c r="O13">
        <v>1</v>
      </c>
    </row>
    <row r="14" spans="1:15" x14ac:dyDescent="0.3">
      <c r="A14" t="s">
        <v>14</v>
      </c>
      <c r="B14" t="s">
        <v>61</v>
      </c>
      <c r="C14" t="s">
        <v>42</v>
      </c>
      <c r="D14" t="s">
        <v>66</v>
      </c>
      <c r="E14" t="s">
        <v>67</v>
      </c>
      <c r="F14">
        <v>10.5</v>
      </c>
      <c r="G14" t="s">
        <v>68</v>
      </c>
      <c r="H14">
        <v>0.03</v>
      </c>
      <c r="I14">
        <v>9.5200000000000007E-2</v>
      </c>
      <c r="J14">
        <v>25</v>
      </c>
      <c r="K14">
        <v>2.63</v>
      </c>
      <c r="L14" t="str">
        <f t="shared" si="0"/>
        <v>GREEN</v>
      </c>
      <c r="N14" t="s">
        <v>20</v>
      </c>
      <c r="O14">
        <v>1</v>
      </c>
    </row>
    <row r="15" spans="1:15" x14ac:dyDescent="0.3">
      <c r="A15" t="s">
        <v>14</v>
      </c>
      <c r="B15" t="s">
        <v>61</v>
      </c>
      <c r="C15" t="s">
        <v>69</v>
      </c>
      <c r="D15" t="s">
        <v>70</v>
      </c>
      <c r="E15" t="s">
        <v>71</v>
      </c>
      <c r="F15">
        <v>11</v>
      </c>
      <c r="G15" t="s">
        <v>36</v>
      </c>
      <c r="H15">
        <v>7.0000000000000007E-2</v>
      </c>
      <c r="I15">
        <v>9.0899999999999995E-2</v>
      </c>
      <c r="J15">
        <v>25</v>
      </c>
      <c r="K15">
        <v>2.5</v>
      </c>
      <c r="L15" t="str">
        <f t="shared" si="0"/>
        <v>GREEN</v>
      </c>
      <c r="N15" t="s">
        <v>20</v>
      </c>
      <c r="O15">
        <v>1</v>
      </c>
    </row>
    <row r="16" spans="1:15" x14ac:dyDescent="0.3">
      <c r="A16" t="s">
        <v>14</v>
      </c>
      <c r="B16" t="s">
        <v>61</v>
      </c>
      <c r="C16" t="s">
        <v>69</v>
      </c>
      <c r="D16" t="s">
        <v>72</v>
      </c>
      <c r="E16" t="s">
        <v>73</v>
      </c>
      <c r="F16">
        <v>16</v>
      </c>
      <c r="G16" t="s">
        <v>60</v>
      </c>
      <c r="H16">
        <v>7.0000000000000007E-2</v>
      </c>
      <c r="I16">
        <v>6.25E-2</v>
      </c>
      <c r="J16">
        <v>25</v>
      </c>
      <c r="K16">
        <v>1.67</v>
      </c>
      <c r="L16" t="str">
        <f t="shared" si="0"/>
        <v>GREEN</v>
      </c>
      <c r="N16" t="s">
        <v>20</v>
      </c>
      <c r="O16">
        <v>1</v>
      </c>
    </row>
    <row r="17" spans="1:15" x14ac:dyDescent="0.3">
      <c r="A17" t="s">
        <v>14</v>
      </c>
      <c r="B17" t="s">
        <v>74</v>
      </c>
      <c r="C17" t="s">
        <v>75</v>
      </c>
      <c r="D17" t="s">
        <v>76</v>
      </c>
      <c r="E17" t="s">
        <v>77</v>
      </c>
      <c r="F17">
        <v>18</v>
      </c>
      <c r="G17" t="s">
        <v>65</v>
      </c>
      <c r="H17">
        <v>0.04</v>
      </c>
      <c r="I17">
        <v>5.5599999999999997E-2</v>
      </c>
      <c r="J17">
        <v>25</v>
      </c>
      <c r="K17">
        <v>1.47</v>
      </c>
      <c r="L17" t="str">
        <f t="shared" si="0"/>
        <v>GREEN</v>
      </c>
      <c r="N17" t="s">
        <v>20</v>
      </c>
      <c r="O17">
        <v>1</v>
      </c>
    </row>
    <row r="18" spans="1:15" x14ac:dyDescent="0.3">
      <c r="A18" t="s">
        <v>14</v>
      </c>
      <c r="B18" t="s">
        <v>78</v>
      </c>
      <c r="C18" t="s">
        <v>27</v>
      </c>
      <c r="D18" t="s">
        <v>79</v>
      </c>
      <c r="E18" t="s">
        <v>80</v>
      </c>
      <c r="F18">
        <v>12.5</v>
      </c>
      <c r="G18" t="s">
        <v>60</v>
      </c>
      <c r="H18">
        <v>0.05</v>
      </c>
      <c r="I18">
        <v>0.08</v>
      </c>
      <c r="J18">
        <v>25</v>
      </c>
      <c r="K18">
        <v>2.17</v>
      </c>
      <c r="L18" t="str">
        <f t="shared" si="0"/>
        <v>GREEN</v>
      </c>
      <c r="N18" t="s">
        <v>20</v>
      </c>
      <c r="O18">
        <v>1</v>
      </c>
    </row>
    <row r="19" spans="1:15" x14ac:dyDescent="0.3">
      <c r="A19" t="s">
        <v>14</v>
      </c>
      <c r="B19" t="s">
        <v>78</v>
      </c>
      <c r="C19" t="s">
        <v>27</v>
      </c>
      <c r="D19" t="s">
        <v>81</v>
      </c>
      <c r="E19" t="s">
        <v>82</v>
      </c>
      <c r="F19">
        <v>12.5</v>
      </c>
      <c r="G19" t="s">
        <v>36</v>
      </c>
      <c r="H19">
        <v>0.05</v>
      </c>
      <c r="I19">
        <v>0.08</v>
      </c>
      <c r="J19">
        <v>25</v>
      </c>
      <c r="K19">
        <v>2.17</v>
      </c>
      <c r="L19" t="str">
        <f t="shared" si="0"/>
        <v>GREEN</v>
      </c>
      <c r="N19" t="s">
        <v>20</v>
      </c>
      <c r="O19">
        <v>1</v>
      </c>
    </row>
    <row r="20" spans="1:15" x14ac:dyDescent="0.3">
      <c r="A20" t="s">
        <v>14</v>
      </c>
      <c r="B20" t="s">
        <v>78</v>
      </c>
      <c r="C20" t="s">
        <v>83</v>
      </c>
      <c r="D20" t="s">
        <v>84</v>
      </c>
      <c r="E20" t="s">
        <v>85</v>
      </c>
      <c r="F20">
        <v>11.5</v>
      </c>
      <c r="G20" t="s">
        <v>65</v>
      </c>
      <c r="H20">
        <v>0.05</v>
      </c>
      <c r="I20">
        <v>8.6999999999999994E-2</v>
      </c>
      <c r="J20">
        <v>25</v>
      </c>
      <c r="K20">
        <v>2.38</v>
      </c>
      <c r="L20" t="str">
        <f t="shared" si="0"/>
        <v>GREEN</v>
      </c>
      <c r="N20" t="s">
        <v>20</v>
      </c>
      <c r="O20">
        <v>1</v>
      </c>
    </row>
    <row r="21" spans="1:15" x14ac:dyDescent="0.3">
      <c r="A21" t="s">
        <v>14</v>
      </c>
      <c r="B21" t="s">
        <v>78</v>
      </c>
      <c r="C21" t="s">
        <v>57</v>
      </c>
      <c r="D21" t="s">
        <v>86</v>
      </c>
      <c r="E21" t="s">
        <v>87</v>
      </c>
      <c r="F21">
        <v>16.5</v>
      </c>
      <c r="G21" t="s">
        <v>49</v>
      </c>
      <c r="H21">
        <v>0.06</v>
      </c>
      <c r="I21">
        <v>6.0600000000000001E-2</v>
      </c>
      <c r="J21">
        <v>25</v>
      </c>
      <c r="K21">
        <v>1.61</v>
      </c>
      <c r="L21" t="str">
        <f t="shared" si="0"/>
        <v>GREEN</v>
      </c>
      <c r="N21" t="s">
        <v>20</v>
      </c>
      <c r="O21">
        <v>1</v>
      </c>
    </row>
    <row r="22" spans="1:15" x14ac:dyDescent="0.3">
      <c r="A22" t="s">
        <v>14</v>
      </c>
      <c r="B22" t="s">
        <v>88</v>
      </c>
      <c r="C22" t="s">
        <v>69</v>
      </c>
      <c r="D22" t="s">
        <v>89</v>
      </c>
      <c r="E22" t="s">
        <v>90</v>
      </c>
      <c r="F22">
        <v>14</v>
      </c>
      <c r="G22" t="s">
        <v>53</v>
      </c>
      <c r="H22">
        <v>7.0000000000000007E-2</v>
      </c>
      <c r="I22">
        <v>7.1400000000000005E-2</v>
      </c>
      <c r="J22">
        <v>25</v>
      </c>
      <c r="K22">
        <v>1.92</v>
      </c>
      <c r="L22" t="str">
        <f t="shared" si="0"/>
        <v>GREEN</v>
      </c>
      <c r="N22" t="s">
        <v>20</v>
      </c>
      <c r="O22">
        <v>1</v>
      </c>
    </row>
    <row r="23" spans="1:15" x14ac:dyDescent="0.3">
      <c r="A23" t="s">
        <v>14</v>
      </c>
      <c r="B23" t="s">
        <v>91</v>
      </c>
      <c r="C23" t="s">
        <v>27</v>
      </c>
      <c r="D23" t="s">
        <v>92</v>
      </c>
      <c r="E23" t="s">
        <v>93</v>
      </c>
      <c r="F23">
        <v>13</v>
      </c>
      <c r="G23" t="s">
        <v>94</v>
      </c>
      <c r="H23">
        <v>0.05</v>
      </c>
      <c r="I23">
        <v>7.6899999999999996E-2</v>
      </c>
      <c r="J23">
        <v>25</v>
      </c>
      <c r="K23">
        <v>2.08</v>
      </c>
      <c r="L23" t="str">
        <f t="shared" si="0"/>
        <v>GREEN</v>
      </c>
      <c r="N23" t="s">
        <v>20</v>
      </c>
      <c r="O23">
        <v>1</v>
      </c>
    </row>
    <row r="24" spans="1:15" x14ac:dyDescent="0.3">
      <c r="A24" t="s">
        <v>14</v>
      </c>
      <c r="B24" t="s">
        <v>91</v>
      </c>
      <c r="C24" t="s">
        <v>57</v>
      </c>
      <c r="D24" t="s">
        <v>95</v>
      </c>
      <c r="E24" t="s">
        <v>96</v>
      </c>
      <c r="F24">
        <v>20</v>
      </c>
      <c r="G24" t="s">
        <v>60</v>
      </c>
      <c r="H24">
        <v>0.06</v>
      </c>
      <c r="I24">
        <v>0.05</v>
      </c>
      <c r="J24">
        <v>25</v>
      </c>
      <c r="K24">
        <v>1.32</v>
      </c>
      <c r="L24" t="str">
        <f t="shared" si="0"/>
        <v>GREEN</v>
      </c>
      <c r="N24" t="s">
        <v>20</v>
      </c>
      <c r="O24">
        <v>1</v>
      </c>
    </row>
    <row r="25" spans="1:15" x14ac:dyDescent="0.3">
      <c r="A25" t="s">
        <v>14</v>
      </c>
      <c r="B25" t="s">
        <v>97</v>
      </c>
      <c r="C25" t="s">
        <v>46</v>
      </c>
      <c r="D25" t="s">
        <v>98</v>
      </c>
      <c r="E25" t="s">
        <v>99</v>
      </c>
      <c r="F25">
        <v>13</v>
      </c>
      <c r="G25" t="s">
        <v>49</v>
      </c>
      <c r="H25">
        <v>7.0000000000000007E-2</v>
      </c>
      <c r="I25">
        <v>7.6899999999999996E-2</v>
      </c>
      <c r="J25">
        <v>25</v>
      </c>
      <c r="K25">
        <v>2.08</v>
      </c>
      <c r="L25" t="str">
        <f t="shared" si="0"/>
        <v>RED</v>
      </c>
      <c r="N25" t="s">
        <v>20</v>
      </c>
      <c r="O25">
        <v>0</v>
      </c>
    </row>
    <row r="26" spans="1:15" x14ac:dyDescent="0.3">
      <c r="A26" t="s">
        <v>14</v>
      </c>
      <c r="B26" t="s">
        <v>100</v>
      </c>
      <c r="C26" t="s">
        <v>83</v>
      </c>
      <c r="D26" t="s">
        <v>101</v>
      </c>
      <c r="E26" t="s">
        <v>102</v>
      </c>
      <c r="F26">
        <v>20</v>
      </c>
      <c r="G26" t="s">
        <v>19</v>
      </c>
      <c r="H26">
        <v>0.05</v>
      </c>
      <c r="I26">
        <v>0.05</v>
      </c>
      <c r="J26">
        <v>25</v>
      </c>
      <c r="K26">
        <v>1.32</v>
      </c>
      <c r="L26" t="str">
        <f t="shared" si="0"/>
        <v>GREEN</v>
      </c>
      <c r="N26" t="s">
        <v>20</v>
      </c>
      <c r="O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2026-08-16T23:59:14Z</dcterms:created>
  <dcterms:modified xsi:type="dcterms:W3CDTF">2026-08-17T01:22:24Z</dcterms:modified>
</cp:coreProperties>
</file>