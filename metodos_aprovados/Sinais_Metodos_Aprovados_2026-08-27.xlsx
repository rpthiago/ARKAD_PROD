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21df80ec97692de0/Documentos/GitHub/ARKAD_PROD/metodos_aprovados/"/>
    </mc:Choice>
  </mc:AlternateContent>
  <xr:revisionPtr revIDLastSave="16" documentId="11_2B59D187545A3D3AAF1B2E115979E0B06229E87E" xr6:coauthVersionLast="47" xr6:coauthVersionMax="47" xr10:uidLastSave="{3509F299-081E-4202-845E-1BBFC866B9C8}"/>
  <bookViews>
    <workbookView xWindow="-108" yWindow="-108" windowWidth="23256" windowHeight="12456" xr2:uid="{00000000-000D-0000-FFFF-FFFF00000000}"/>
  </bookViews>
  <sheets>
    <sheet name="Sinais_Aprovado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1" l="1"/>
  <c r="M4" i="1"/>
  <c r="M5" i="1"/>
  <c r="M6" i="1"/>
  <c r="M7" i="1"/>
  <c r="M8" i="1"/>
  <c r="M9" i="1"/>
  <c r="M10" i="1"/>
  <c r="M11" i="1"/>
  <c r="M12" i="1"/>
  <c r="M13" i="1"/>
  <c r="M2" i="1"/>
</calcChain>
</file>

<file path=xl/sharedStrings.xml><?xml version="1.0" encoding="utf-8"?>
<sst xmlns="http://schemas.openxmlformats.org/spreadsheetml/2006/main" count="121" uniqueCount="47">
  <si>
    <t>Data</t>
  </si>
  <si>
    <t>Hora</t>
  </si>
  <si>
    <t>Liga</t>
  </si>
  <si>
    <t>Jogo</t>
  </si>
  <si>
    <t>Método</t>
  </si>
  <si>
    <t>Mercado</t>
  </si>
  <si>
    <t>Lado</t>
  </si>
  <si>
    <t>Odd_Entrada</t>
  </si>
  <si>
    <t>Odd_Fav</t>
  </si>
  <si>
    <t>Expectativa_WR</t>
  </si>
  <si>
    <t>EV_Estimado</t>
  </si>
  <si>
    <t>2026-08-27</t>
  </si>
  <si>
    <t>13:45</t>
  </si>
  <si>
    <t>EUROPA CONFERENCE LEAGUE</t>
  </si>
  <si>
    <t>Freiburg x Motherwell</t>
  </si>
  <si>
    <t>Lay Draw (Fav &lt;= 1.40)</t>
  </si>
  <si>
    <t>Match Odds (Draw)</t>
  </si>
  <si>
    <t>LAY</t>
  </si>
  <si>
    <t>85.8%</t>
  </si>
  <si>
    <t>+3.26%</t>
  </si>
  <si>
    <t>14:00</t>
  </si>
  <si>
    <t>EGYPT 1</t>
  </si>
  <si>
    <t>Pyramids x Abo Qair Semads</t>
  </si>
  <si>
    <t>Lay Under 0.5 FT (Fav)</t>
  </si>
  <si>
    <t>Under 0.5 FT</t>
  </si>
  <si>
    <t>94.3%</t>
  </si>
  <si>
    <t>+3.18%</t>
  </si>
  <si>
    <t>FC Copenhagen x FC Inter Turku</t>
  </si>
  <si>
    <t>Pafos FC x Dinamo Tirana</t>
  </si>
  <si>
    <t>EUROPA LEAGUE</t>
  </si>
  <si>
    <t>Red Bull Salzburg x Mjallby</t>
  </si>
  <si>
    <t>15:00</t>
  </si>
  <si>
    <t>Ajax x Sion</t>
  </si>
  <si>
    <t>15:30</t>
  </si>
  <si>
    <t>Brighton x Tromso</t>
  </si>
  <si>
    <t>Anderlecht x Kairat Almaty</t>
  </si>
  <si>
    <t>16:00</t>
  </si>
  <si>
    <t>BOLIVIA 1</t>
  </si>
  <si>
    <t>Always Ready x Aurora</t>
  </si>
  <si>
    <t>ENGLAND CUP</t>
  </si>
  <si>
    <t>Fulham x AFC Wimbledon</t>
  </si>
  <si>
    <t>SPAIN 1</t>
  </si>
  <si>
    <t>Barcelona x Athletic Bilbao</t>
  </si>
  <si>
    <t>21:30</t>
  </si>
  <si>
    <t>Bolivar x Academia de Balompie Boliviano</t>
  </si>
  <si>
    <t>1/0</t>
  </si>
  <si>
    <t>P/L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</si>
</sst>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3"/>
  <sheetViews>
    <sheetView tabSelected="1" workbookViewId="0">
      <selection activeCell="L1" sqref="L1:M1"/>
    </sheetView>
  </sheetViews>
  <sheetFormatPr defaultRowHeight="14.4" x14ac:dyDescent="0.3"/>
  <cols>
    <col min="5" max="5" width="14.33203125" customWidth="1"/>
  </cols>
  <sheetData>
    <row r="1" spans="1:1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45</v>
      </c>
      <c r="M1" s="2" t="s">
        <v>46</v>
      </c>
    </row>
    <row r="2" spans="1:13" x14ac:dyDescent="0.3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 t="s">
        <v>17</v>
      </c>
      <c r="H2">
        <v>9.06</v>
      </c>
      <c r="I2">
        <v>1.2</v>
      </c>
      <c r="J2" t="s">
        <v>18</v>
      </c>
      <c r="K2" t="s">
        <v>19</v>
      </c>
      <c r="L2">
        <v>1</v>
      </c>
      <c r="M2">
        <f>IF(L2=1,0.965/(H2-1),-1)</f>
        <v>0.11972704714640198</v>
      </c>
    </row>
    <row r="3" spans="1:13" x14ac:dyDescent="0.3">
      <c r="A3" t="s">
        <v>11</v>
      </c>
      <c r="B3" t="s">
        <v>20</v>
      </c>
      <c r="C3" t="s">
        <v>21</v>
      </c>
      <c r="D3" t="s">
        <v>22</v>
      </c>
      <c r="E3" t="s">
        <v>23</v>
      </c>
      <c r="F3" t="s">
        <v>24</v>
      </c>
      <c r="G3" t="s">
        <v>17</v>
      </c>
      <c r="H3">
        <v>12.6</v>
      </c>
      <c r="I3">
        <v>1.44</v>
      </c>
      <c r="J3" t="s">
        <v>25</v>
      </c>
      <c r="K3" t="s">
        <v>26</v>
      </c>
      <c r="L3">
        <v>1</v>
      </c>
      <c r="M3">
        <f t="shared" ref="M3:M13" si="0">IF(L3=1,0.965/(H3-1),-1)</f>
        <v>8.3189655172413793E-2</v>
      </c>
    </row>
    <row r="4" spans="1:13" x14ac:dyDescent="0.3">
      <c r="A4" t="s">
        <v>11</v>
      </c>
      <c r="B4" t="s">
        <v>20</v>
      </c>
      <c r="C4" t="s">
        <v>13</v>
      </c>
      <c r="D4" t="s">
        <v>27</v>
      </c>
      <c r="E4" t="s">
        <v>15</v>
      </c>
      <c r="F4" t="s">
        <v>16</v>
      </c>
      <c r="G4" t="s">
        <v>17</v>
      </c>
      <c r="H4">
        <v>6.18</v>
      </c>
      <c r="I4">
        <v>1.31</v>
      </c>
      <c r="J4" t="s">
        <v>18</v>
      </c>
      <c r="K4" t="s">
        <v>19</v>
      </c>
      <c r="L4">
        <v>1</v>
      </c>
      <c r="M4">
        <f t="shared" si="0"/>
        <v>0.18629343629343631</v>
      </c>
    </row>
    <row r="5" spans="1:13" x14ac:dyDescent="0.3">
      <c r="A5" t="s">
        <v>11</v>
      </c>
      <c r="B5" t="s">
        <v>20</v>
      </c>
      <c r="C5" t="s">
        <v>13</v>
      </c>
      <c r="D5" t="s">
        <v>28</v>
      </c>
      <c r="E5" t="s">
        <v>15</v>
      </c>
      <c r="F5" t="s">
        <v>16</v>
      </c>
      <c r="G5" t="s">
        <v>17</v>
      </c>
      <c r="H5">
        <v>5.97</v>
      </c>
      <c r="I5">
        <v>1.32</v>
      </c>
      <c r="J5" t="s">
        <v>18</v>
      </c>
      <c r="K5" t="s">
        <v>19</v>
      </c>
      <c r="L5">
        <v>1</v>
      </c>
      <c r="M5">
        <f t="shared" si="0"/>
        <v>0.19416498993963782</v>
      </c>
    </row>
    <row r="6" spans="1:13" x14ac:dyDescent="0.3">
      <c r="A6" t="s">
        <v>11</v>
      </c>
      <c r="B6" t="s">
        <v>20</v>
      </c>
      <c r="C6" t="s">
        <v>29</v>
      </c>
      <c r="D6" t="s">
        <v>30</v>
      </c>
      <c r="E6" t="s">
        <v>15</v>
      </c>
      <c r="F6" t="s">
        <v>16</v>
      </c>
      <c r="G6" t="s">
        <v>17</v>
      </c>
      <c r="H6">
        <v>7.42</v>
      </c>
      <c r="I6">
        <v>1.25</v>
      </c>
      <c r="J6" t="s">
        <v>18</v>
      </c>
      <c r="K6" t="s">
        <v>19</v>
      </c>
      <c r="L6">
        <v>1</v>
      </c>
      <c r="M6">
        <f t="shared" si="0"/>
        <v>0.15031152647975077</v>
      </c>
    </row>
    <row r="7" spans="1:13" x14ac:dyDescent="0.3">
      <c r="A7" t="s">
        <v>11</v>
      </c>
      <c r="B7" t="s">
        <v>31</v>
      </c>
      <c r="C7" t="s">
        <v>13</v>
      </c>
      <c r="D7" t="s">
        <v>32</v>
      </c>
      <c r="E7" t="s">
        <v>15</v>
      </c>
      <c r="F7" t="s">
        <v>16</v>
      </c>
      <c r="G7" t="s">
        <v>17</v>
      </c>
      <c r="H7">
        <v>6.39</v>
      </c>
      <c r="I7">
        <v>1.36</v>
      </c>
      <c r="J7" t="s">
        <v>18</v>
      </c>
      <c r="K7" t="s">
        <v>19</v>
      </c>
      <c r="L7">
        <v>1</v>
      </c>
      <c r="M7">
        <f t="shared" si="0"/>
        <v>0.1790352504638219</v>
      </c>
    </row>
    <row r="8" spans="1:13" x14ac:dyDescent="0.3">
      <c r="A8" t="s">
        <v>11</v>
      </c>
      <c r="B8" t="s">
        <v>33</v>
      </c>
      <c r="C8" t="s">
        <v>13</v>
      </c>
      <c r="D8" t="s">
        <v>34</v>
      </c>
      <c r="E8" t="s">
        <v>15</v>
      </c>
      <c r="F8" t="s">
        <v>16</v>
      </c>
      <c r="G8" t="s">
        <v>17</v>
      </c>
      <c r="H8">
        <v>7.62</v>
      </c>
      <c r="I8">
        <v>1.23</v>
      </c>
      <c r="J8" t="s">
        <v>18</v>
      </c>
      <c r="K8" t="s">
        <v>19</v>
      </c>
      <c r="L8">
        <v>1</v>
      </c>
      <c r="M8">
        <f t="shared" si="0"/>
        <v>0.14577039274924469</v>
      </c>
    </row>
    <row r="9" spans="1:13" x14ac:dyDescent="0.3">
      <c r="A9" t="s">
        <v>11</v>
      </c>
      <c r="B9" t="s">
        <v>33</v>
      </c>
      <c r="C9" t="s">
        <v>29</v>
      </c>
      <c r="D9" t="s">
        <v>35</v>
      </c>
      <c r="E9" t="s">
        <v>15</v>
      </c>
      <c r="F9" t="s">
        <v>16</v>
      </c>
      <c r="G9" t="s">
        <v>17</v>
      </c>
      <c r="H9">
        <v>5.56</v>
      </c>
      <c r="I9">
        <v>1.39</v>
      </c>
      <c r="J9" t="s">
        <v>18</v>
      </c>
      <c r="K9" t="s">
        <v>19</v>
      </c>
      <c r="L9">
        <v>1</v>
      </c>
      <c r="M9">
        <f t="shared" si="0"/>
        <v>0.21162280701754388</v>
      </c>
    </row>
    <row r="10" spans="1:13" x14ac:dyDescent="0.3">
      <c r="A10" t="s">
        <v>11</v>
      </c>
      <c r="B10" t="s">
        <v>36</v>
      </c>
      <c r="C10" t="s">
        <v>37</v>
      </c>
      <c r="D10" t="s">
        <v>38</v>
      </c>
      <c r="E10" t="s">
        <v>15</v>
      </c>
      <c r="F10" t="s">
        <v>16</v>
      </c>
      <c r="G10" t="s">
        <v>17</v>
      </c>
      <c r="H10">
        <v>6.39</v>
      </c>
      <c r="I10">
        <v>1.28</v>
      </c>
      <c r="J10" t="s">
        <v>18</v>
      </c>
      <c r="K10" t="s">
        <v>19</v>
      </c>
      <c r="L10">
        <v>0</v>
      </c>
      <c r="M10">
        <f t="shared" si="0"/>
        <v>-1</v>
      </c>
    </row>
    <row r="11" spans="1:13" x14ac:dyDescent="0.3">
      <c r="A11" t="s">
        <v>11</v>
      </c>
      <c r="B11" t="s">
        <v>36</v>
      </c>
      <c r="C11" t="s">
        <v>39</v>
      </c>
      <c r="D11" t="s">
        <v>40</v>
      </c>
      <c r="E11" t="s">
        <v>15</v>
      </c>
      <c r="F11" t="s">
        <v>16</v>
      </c>
      <c r="G11" t="s">
        <v>17</v>
      </c>
      <c r="H11">
        <v>7.62</v>
      </c>
      <c r="I11">
        <v>1.24</v>
      </c>
      <c r="J11" t="s">
        <v>18</v>
      </c>
      <c r="K11" t="s">
        <v>19</v>
      </c>
      <c r="L11">
        <v>1</v>
      </c>
      <c r="M11">
        <f t="shared" si="0"/>
        <v>0.14577039274924469</v>
      </c>
    </row>
    <row r="12" spans="1:13" x14ac:dyDescent="0.3">
      <c r="A12" t="s">
        <v>11</v>
      </c>
      <c r="B12" t="s">
        <v>36</v>
      </c>
      <c r="C12" t="s">
        <v>41</v>
      </c>
      <c r="D12" t="s">
        <v>42</v>
      </c>
      <c r="E12" t="s">
        <v>15</v>
      </c>
      <c r="F12" t="s">
        <v>16</v>
      </c>
      <c r="G12" t="s">
        <v>17</v>
      </c>
      <c r="H12">
        <v>7.83</v>
      </c>
      <c r="I12">
        <v>1.25</v>
      </c>
      <c r="J12" t="s">
        <v>18</v>
      </c>
      <c r="K12" t="s">
        <v>19</v>
      </c>
      <c r="L12">
        <v>1</v>
      </c>
      <c r="M12">
        <f t="shared" si="0"/>
        <v>0.14128843338213762</v>
      </c>
    </row>
    <row r="13" spans="1:13" x14ac:dyDescent="0.3">
      <c r="A13" t="s">
        <v>11</v>
      </c>
      <c r="B13" t="s">
        <v>43</v>
      </c>
      <c r="C13" t="s">
        <v>37</v>
      </c>
      <c r="D13" t="s">
        <v>44</v>
      </c>
      <c r="E13" t="s">
        <v>15</v>
      </c>
      <c r="F13" t="s">
        <v>16</v>
      </c>
      <c r="G13" t="s">
        <v>17</v>
      </c>
      <c r="H13">
        <v>9.68</v>
      </c>
      <c r="I13">
        <v>1.2</v>
      </c>
      <c r="J13" t="s">
        <v>18</v>
      </c>
      <c r="K13" t="s">
        <v>19</v>
      </c>
      <c r="L13">
        <v>1</v>
      </c>
      <c r="M13">
        <f t="shared" si="0"/>
        <v>0.11117511520737328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Sinais_Aprovados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thiago Rodrigues</cp:lastModifiedBy>
  <dcterms:created xsi:type="dcterms:W3CDTF">2026-08-28T21:05:07Z</dcterms:created>
  <dcterms:modified xsi:type="dcterms:W3CDTF">2026-08-28T21:24:09Z</dcterms:modified>
</cp:coreProperties>
</file>