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34" documentId="11_4691519C54CAB32D475B3511595ED87656CDC2BC" xr6:coauthVersionLast="47" xr6:coauthVersionMax="47" xr10:uidLastSave="{1107827D-D74A-4150-B717-66E66FA87FE9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5" i="1"/>
</calcChain>
</file>

<file path=xl/sharedStrings.xml><?xml version="1.0" encoding="utf-8"?>
<sst xmlns="http://schemas.openxmlformats.org/spreadsheetml/2006/main" count="186" uniqueCount="101">
  <si>
    <t>Data</t>
  </si>
  <si>
    <t>Hora</t>
  </si>
  <si>
    <t>Liga</t>
  </si>
  <si>
    <t>Jogo</t>
  </si>
  <si>
    <t>Home</t>
  </si>
  <si>
    <t>Away</t>
  </si>
  <si>
    <t>Método</t>
  </si>
  <si>
    <t>Mercado</t>
  </si>
  <si>
    <t>Lado</t>
  </si>
  <si>
    <t>Odd_Entrada</t>
  </si>
  <si>
    <t>Odd_Fav</t>
  </si>
  <si>
    <t>Stake_Sugerida_R$</t>
  </si>
  <si>
    <t>Risco_Red_R$</t>
  </si>
  <si>
    <t>Placar</t>
  </si>
  <si>
    <t>Resultado</t>
  </si>
  <si>
    <t>1/0</t>
  </si>
  <si>
    <t>P/L</t>
  </si>
  <si>
    <t>Status</t>
  </si>
  <si>
    <t>2026-08-20</t>
  </si>
  <si>
    <t>12:00</t>
  </si>
  <si>
    <t>EUROPA LEAGUE</t>
  </si>
  <si>
    <t>Kairat Almaty x Anderlecht</t>
  </si>
  <si>
    <t>Kairat Almaty</t>
  </si>
  <si>
    <t>Anderlecht</t>
  </si>
  <si>
    <t>Lay 0x3 Top 3 (Aprovado)</t>
  </si>
  <si>
    <t>Correct Score (0x3)</t>
  </si>
  <si>
    <t>LAY</t>
  </si>
  <si>
    <t>PENDENTE</t>
  </si>
  <si>
    <t>⏳ PENDENTE</t>
  </si>
  <si>
    <t>13:00</t>
  </si>
  <si>
    <t>EUROPA CONFERENCE LEAGUE</t>
  </si>
  <si>
    <t>FC Inter Turku x FC Copenhagen</t>
  </si>
  <si>
    <t>FC Inter Turku</t>
  </si>
  <si>
    <t>FC Copenhagen</t>
  </si>
  <si>
    <t>Lay Home / DC X2 (Fav Visitante &lt;= 1.65)</t>
  </si>
  <si>
    <t>Match Odds (Home)</t>
  </si>
  <si>
    <t>Jagiellonia Bialystock x FC Iberia 1999</t>
  </si>
  <si>
    <t>Jagiellonia Bialystock</t>
  </si>
  <si>
    <t>FC Iberia 1999</t>
  </si>
  <si>
    <t>Lay Draw (Fav &lt;= 1.40)</t>
  </si>
  <si>
    <t>Match Odds (Draw)</t>
  </si>
  <si>
    <t>14:00</t>
  </si>
  <si>
    <t>DENMARK 2</t>
  </si>
  <si>
    <t>Vendsyssel FF x Hillerod Fodbold</t>
  </si>
  <si>
    <t>Vendsyssel FF</t>
  </si>
  <si>
    <t>Hillerod Fodbold</t>
  </si>
  <si>
    <t>Lay 2x2 Top 3 (Aprovado)</t>
  </si>
  <si>
    <t>Correct Score (2x2)</t>
  </si>
  <si>
    <t>Tromso x Brighton</t>
  </si>
  <si>
    <t>Tromso</t>
  </si>
  <si>
    <t>Brighton</t>
  </si>
  <si>
    <t>15:00</t>
  </si>
  <si>
    <t>Gornik Zabrze x Monaco</t>
  </si>
  <si>
    <t>Gornik Zabrze</t>
  </si>
  <si>
    <t>Monaco</t>
  </si>
  <si>
    <t>SAUDI ARABIA 1</t>
  </si>
  <si>
    <t>Al-Feiha x Al-Hilal</t>
  </si>
  <si>
    <t>Al-Feiha</t>
  </si>
  <si>
    <t>Al-Hilal</t>
  </si>
  <si>
    <t>15:30</t>
  </si>
  <si>
    <t>Atalanta x Hapoel Tel Aviv</t>
  </si>
  <si>
    <t>Atalanta</t>
  </si>
  <si>
    <t>Hapoel Tel Aviv</t>
  </si>
  <si>
    <t>16:00</t>
  </si>
  <si>
    <t>Dinamo Tirana x Pafos FC</t>
  </si>
  <si>
    <t>Dinamo Tirana</t>
  </si>
  <si>
    <t>Pafos FC</t>
  </si>
  <si>
    <t>ENGLAND 3</t>
  </si>
  <si>
    <t>Sheff Wed x Bradford</t>
  </si>
  <si>
    <t>Sheff Wed</t>
  </si>
  <si>
    <t>Bradford</t>
  </si>
  <si>
    <t>Benfica x AGF</t>
  </si>
  <si>
    <t>Benfica</t>
  </si>
  <si>
    <t>AGF</t>
  </si>
  <si>
    <t>16:30</t>
  </si>
  <si>
    <t>PARAGUAY CUP</t>
  </si>
  <si>
    <t>Tacuary x Libertad</t>
  </si>
  <si>
    <t>Tacuary</t>
  </si>
  <si>
    <t>Libertad</t>
  </si>
  <si>
    <t>17:30</t>
  </si>
  <si>
    <t>COLOMBIA 2</t>
  </si>
  <si>
    <t>Real Santander x Barranquilla</t>
  </si>
  <si>
    <t>Real Santander</t>
  </si>
  <si>
    <t>Barranquilla</t>
  </si>
  <si>
    <t>22:00</t>
  </si>
  <si>
    <t>MEXICO 2</t>
  </si>
  <si>
    <t>Club Atletico Morelia x Correcaminos UAT</t>
  </si>
  <si>
    <t>Club Atletico Morelia</t>
  </si>
  <si>
    <t>Correcaminos UAT</t>
  </si>
  <si>
    <t>Lay Over 4.5 FT (Under Pesado)</t>
  </si>
  <si>
    <t>Over 4.5 FT</t>
  </si>
  <si>
    <t>0x3</t>
  </si>
  <si>
    <t>0x0</t>
  </si>
  <si>
    <t>4x0</t>
  </si>
  <si>
    <t>1x0</t>
  </si>
  <si>
    <t>2x3</t>
  </si>
  <si>
    <t>1x1</t>
  </si>
  <si>
    <t>0x1</t>
  </si>
  <si>
    <t>3x1</t>
  </si>
  <si>
    <t>2x2</t>
  </si>
  <si>
    <t>1x3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</si>
</sst>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"/>
  <sheetViews>
    <sheetView tabSelected="1" workbookViewId="0">
      <selection activeCell="P21" sqref="P21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>
        <v>29</v>
      </c>
      <c r="K2">
        <v>0</v>
      </c>
      <c r="L2">
        <v>3.57</v>
      </c>
      <c r="M2">
        <v>100</v>
      </c>
      <c r="N2" t="s">
        <v>91</v>
      </c>
      <c r="O2" t="s">
        <v>27</v>
      </c>
      <c r="P2">
        <v>0</v>
      </c>
      <c r="Q2">
        <v>-3</v>
      </c>
      <c r="R2" t="s">
        <v>28</v>
      </c>
    </row>
    <row r="3" spans="1:18" x14ac:dyDescent="0.3">
      <c r="A3" t="s">
        <v>18</v>
      </c>
      <c r="B3" t="s">
        <v>29</v>
      </c>
      <c r="C3" t="s">
        <v>30</v>
      </c>
      <c r="D3" t="s">
        <v>31</v>
      </c>
      <c r="E3" t="s">
        <v>32</v>
      </c>
      <c r="F3" t="s">
        <v>33</v>
      </c>
      <c r="G3" t="s">
        <v>34</v>
      </c>
      <c r="H3" t="s">
        <v>35</v>
      </c>
      <c r="I3" t="s">
        <v>26</v>
      </c>
      <c r="J3">
        <v>6.6</v>
      </c>
      <c r="K3">
        <v>1.58</v>
      </c>
      <c r="L3">
        <v>17.86</v>
      </c>
      <c r="M3">
        <v>100</v>
      </c>
      <c r="N3" t="s">
        <v>92</v>
      </c>
      <c r="O3" t="s">
        <v>27</v>
      </c>
      <c r="P3">
        <v>1</v>
      </c>
      <c r="Q3">
        <f t="shared" ref="Q3:Q15" si="0">IF(P3=1,0.945/(J3*1),-1)</f>
        <v>0.14318181818181819</v>
      </c>
      <c r="R3" t="s">
        <v>28</v>
      </c>
    </row>
    <row r="4" spans="1:18" x14ac:dyDescent="0.3">
      <c r="A4" t="s">
        <v>18</v>
      </c>
      <c r="B4" t="s">
        <v>29</v>
      </c>
      <c r="C4" t="s">
        <v>20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26</v>
      </c>
      <c r="J4">
        <v>5.3</v>
      </c>
      <c r="K4">
        <v>1.4</v>
      </c>
      <c r="L4">
        <v>23.26</v>
      </c>
      <c r="M4">
        <v>100</v>
      </c>
      <c r="N4" t="s">
        <v>93</v>
      </c>
      <c r="O4" t="s">
        <v>27</v>
      </c>
      <c r="P4">
        <v>1</v>
      </c>
      <c r="Q4">
        <f t="shared" si="0"/>
        <v>0.17830188679245282</v>
      </c>
      <c r="R4" t="s">
        <v>28</v>
      </c>
    </row>
    <row r="5" spans="1:18" x14ac:dyDescent="0.3">
      <c r="A5" t="s">
        <v>18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47</v>
      </c>
      <c r="I5" t="s">
        <v>26</v>
      </c>
      <c r="J5">
        <v>18.5</v>
      </c>
      <c r="K5">
        <v>0</v>
      </c>
      <c r="L5">
        <v>5.71</v>
      </c>
      <c r="M5">
        <v>100</v>
      </c>
      <c r="N5" t="s">
        <v>94</v>
      </c>
      <c r="O5" t="s">
        <v>27</v>
      </c>
      <c r="P5">
        <v>1</v>
      </c>
      <c r="Q5">
        <f t="shared" si="0"/>
        <v>5.108108108108108E-2</v>
      </c>
      <c r="R5" t="s">
        <v>28</v>
      </c>
    </row>
    <row r="6" spans="1:18" x14ac:dyDescent="0.3">
      <c r="A6" t="s">
        <v>18</v>
      </c>
      <c r="B6" t="s">
        <v>41</v>
      </c>
      <c r="C6" t="s">
        <v>30</v>
      </c>
      <c r="D6" t="s">
        <v>48</v>
      </c>
      <c r="E6" t="s">
        <v>49</v>
      </c>
      <c r="F6" t="s">
        <v>50</v>
      </c>
      <c r="G6" t="s">
        <v>34</v>
      </c>
      <c r="H6" t="s">
        <v>35</v>
      </c>
      <c r="I6" t="s">
        <v>26</v>
      </c>
      <c r="J6">
        <v>7</v>
      </c>
      <c r="K6">
        <v>1.55</v>
      </c>
      <c r="L6">
        <v>16.670000000000002</v>
      </c>
      <c r="M6">
        <v>100</v>
      </c>
      <c r="N6" t="s">
        <v>92</v>
      </c>
      <c r="O6" t="s">
        <v>27</v>
      </c>
      <c r="P6">
        <v>1</v>
      </c>
      <c r="Q6">
        <f t="shared" si="0"/>
        <v>0.13499999999999998</v>
      </c>
      <c r="R6" t="s">
        <v>28</v>
      </c>
    </row>
    <row r="7" spans="1:18" x14ac:dyDescent="0.3">
      <c r="A7" t="s">
        <v>18</v>
      </c>
      <c r="B7" t="s">
        <v>51</v>
      </c>
      <c r="C7" t="s">
        <v>30</v>
      </c>
      <c r="D7" t="s">
        <v>52</v>
      </c>
      <c r="E7" t="s">
        <v>53</v>
      </c>
      <c r="F7" t="s">
        <v>54</v>
      </c>
      <c r="G7" t="s">
        <v>24</v>
      </c>
      <c r="H7" t="s">
        <v>25</v>
      </c>
      <c r="I7" t="s">
        <v>26</v>
      </c>
      <c r="J7">
        <v>26</v>
      </c>
      <c r="K7">
        <v>0</v>
      </c>
      <c r="L7">
        <v>4</v>
      </c>
      <c r="M7">
        <v>100</v>
      </c>
      <c r="N7" t="s">
        <v>95</v>
      </c>
      <c r="O7" t="s">
        <v>27</v>
      </c>
      <c r="P7">
        <v>1</v>
      </c>
      <c r="Q7">
        <f t="shared" si="0"/>
        <v>3.6346153846153847E-2</v>
      </c>
      <c r="R7" t="s">
        <v>28</v>
      </c>
    </row>
    <row r="8" spans="1:18" x14ac:dyDescent="0.3">
      <c r="A8" t="s">
        <v>18</v>
      </c>
      <c r="B8" t="s">
        <v>51</v>
      </c>
      <c r="C8" t="s">
        <v>55</v>
      </c>
      <c r="D8" t="s">
        <v>56</v>
      </c>
      <c r="E8" t="s">
        <v>57</v>
      </c>
      <c r="F8" t="s">
        <v>58</v>
      </c>
      <c r="G8" t="s">
        <v>39</v>
      </c>
      <c r="H8" t="s">
        <v>40</v>
      </c>
      <c r="I8" t="s">
        <v>26</v>
      </c>
      <c r="J8">
        <v>7.4</v>
      </c>
      <c r="K8">
        <v>1.25</v>
      </c>
      <c r="L8">
        <v>15.62</v>
      </c>
      <c r="M8">
        <v>100</v>
      </c>
      <c r="N8" t="s">
        <v>91</v>
      </c>
      <c r="O8" t="s">
        <v>27</v>
      </c>
      <c r="P8">
        <v>1</v>
      </c>
      <c r="Q8">
        <f t="shared" si="0"/>
        <v>0.1277027027027027</v>
      </c>
      <c r="R8" t="s">
        <v>28</v>
      </c>
    </row>
    <row r="9" spans="1:18" x14ac:dyDescent="0.3">
      <c r="A9" t="s">
        <v>18</v>
      </c>
      <c r="B9" t="s">
        <v>59</v>
      </c>
      <c r="C9" t="s">
        <v>30</v>
      </c>
      <c r="D9" t="s">
        <v>60</v>
      </c>
      <c r="E9" t="s">
        <v>61</v>
      </c>
      <c r="F9" t="s">
        <v>62</v>
      </c>
      <c r="G9" t="s">
        <v>39</v>
      </c>
      <c r="H9" t="s">
        <v>40</v>
      </c>
      <c r="I9" t="s">
        <v>26</v>
      </c>
      <c r="J9">
        <v>8.1999999999999993</v>
      </c>
      <c r="K9">
        <v>1.2</v>
      </c>
      <c r="L9">
        <v>13.89</v>
      </c>
      <c r="M9">
        <v>100</v>
      </c>
      <c r="N9" t="s">
        <v>92</v>
      </c>
      <c r="O9" t="s">
        <v>27</v>
      </c>
      <c r="P9">
        <v>0</v>
      </c>
      <c r="Q9">
        <f t="shared" si="0"/>
        <v>-1</v>
      </c>
      <c r="R9" t="s">
        <v>28</v>
      </c>
    </row>
    <row r="10" spans="1:18" x14ac:dyDescent="0.3">
      <c r="A10" t="s">
        <v>18</v>
      </c>
      <c r="B10" t="s">
        <v>63</v>
      </c>
      <c r="C10" t="s">
        <v>30</v>
      </c>
      <c r="D10" t="s">
        <v>64</v>
      </c>
      <c r="E10" t="s">
        <v>65</v>
      </c>
      <c r="F10" t="s">
        <v>66</v>
      </c>
      <c r="G10" t="s">
        <v>24</v>
      </c>
      <c r="H10" t="s">
        <v>25</v>
      </c>
      <c r="I10" t="s">
        <v>26</v>
      </c>
      <c r="J10">
        <v>25</v>
      </c>
      <c r="K10">
        <v>0</v>
      </c>
      <c r="L10">
        <v>4.17</v>
      </c>
      <c r="M10">
        <v>100</v>
      </c>
      <c r="N10" t="s">
        <v>96</v>
      </c>
      <c r="O10" t="s">
        <v>27</v>
      </c>
      <c r="P10">
        <v>1</v>
      </c>
      <c r="Q10">
        <f t="shared" si="0"/>
        <v>3.78E-2</v>
      </c>
      <c r="R10" t="s">
        <v>28</v>
      </c>
    </row>
    <row r="11" spans="1:18" x14ac:dyDescent="0.3">
      <c r="A11" t="s">
        <v>18</v>
      </c>
      <c r="B11" t="s">
        <v>63</v>
      </c>
      <c r="C11" t="s">
        <v>67</v>
      </c>
      <c r="D11" t="s">
        <v>68</v>
      </c>
      <c r="E11" t="s">
        <v>69</v>
      </c>
      <c r="F11" t="s">
        <v>70</v>
      </c>
      <c r="G11" t="s">
        <v>46</v>
      </c>
      <c r="H11" t="s">
        <v>47</v>
      </c>
      <c r="I11" t="s">
        <v>26</v>
      </c>
      <c r="J11">
        <v>17</v>
      </c>
      <c r="K11">
        <v>0</v>
      </c>
      <c r="L11">
        <v>6.25</v>
      </c>
      <c r="M11">
        <v>100</v>
      </c>
      <c r="N11" t="s">
        <v>97</v>
      </c>
      <c r="O11" t="s">
        <v>27</v>
      </c>
      <c r="P11">
        <v>1</v>
      </c>
      <c r="Q11">
        <f t="shared" si="0"/>
        <v>5.5588235294117647E-2</v>
      </c>
      <c r="R11" t="s">
        <v>28</v>
      </c>
    </row>
    <row r="12" spans="1:18" x14ac:dyDescent="0.3">
      <c r="A12" t="s">
        <v>18</v>
      </c>
      <c r="B12" t="s">
        <v>63</v>
      </c>
      <c r="C12" t="s">
        <v>20</v>
      </c>
      <c r="D12" t="s">
        <v>71</v>
      </c>
      <c r="E12" t="s">
        <v>72</v>
      </c>
      <c r="F12" t="s">
        <v>73</v>
      </c>
      <c r="G12" t="s">
        <v>39</v>
      </c>
      <c r="H12" t="s">
        <v>40</v>
      </c>
      <c r="I12" t="s">
        <v>26</v>
      </c>
      <c r="J12">
        <v>9.6</v>
      </c>
      <c r="K12">
        <v>1.17</v>
      </c>
      <c r="L12">
        <v>11.63</v>
      </c>
      <c r="M12">
        <v>100</v>
      </c>
      <c r="N12" t="s">
        <v>98</v>
      </c>
      <c r="O12" t="s">
        <v>27</v>
      </c>
      <c r="P12">
        <v>1</v>
      </c>
      <c r="Q12">
        <f t="shared" si="0"/>
        <v>9.8437499999999997E-2</v>
      </c>
      <c r="R12" t="s">
        <v>28</v>
      </c>
    </row>
    <row r="13" spans="1:18" x14ac:dyDescent="0.3">
      <c r="A13" t="s">
        <v>18</v>
      </c>
      <c r="B13" t="s">
        <v>74</v>
      </c>
      <c r="C13" t="s">
        <v>75</v>
      </c>
      <c r="D13" t="s">
        <v>76</v>
      </c>
      <c r="E13" t="s">
        <v>77</v>
      </c>
      <c r="F13" t="s">
        <v>78</v>
      </c>
      <c r="G13" t="s">
        <v>39</v>
      </c>
      <c r="H13" t="s">
        <v>40</v>
      </c>
      <c r="I13" t="s">
        <v>26</v>
      </c>
      <c r="J13">
        <v>10</v>
      </c>
      <c r="K13">
        <v>1.18</v>
      </c>
      <c r="L13">
        <v>11.11</v>
      </c>
      <c r="M13">
        <v>100</v>
      </c>
      <c r="N13" t="s">
        <v>92</v>
      </c>
      <c r="O13" t="s">
        <v>27</v>
      </c>
      <c r="P13">
        <v>0</v>
      </c>
      <c r="Q13">
        <f t="shared" si="0"/>
        <v>-1</v>
      </c>
      <c r="R13" t="s">
        <v>28</v>
      </c>
    </row>
    <row r="14" spans="1:18" x14ac:dyDescent="0.3">
      <c r="A14" t="s">
        <v>18</v>
      </c>
      <c r="B14" t="s">
        <v>79</v>
      </c>
      <c r="C14" t="s">
        <v>80</v>
      </c>
      <c r="D14" t="s">
        <v>81</v>
      </c>
      <c r="E14" t="s">
        <v>82</v>
      </c>
      <c r="F14" t="s">
        <v>83</v>
      </c>
      <c r="G14" t="s">
        <v>46</v>
      </c>
      <c r="H14" t="s">
        <v>47</v>
      </c>
      <c r="I14" t="s">
        <v>26</v>
      </c>
      <c r="J14">
        <v>18</v>
      </c>
      <c r="K14">
        <v>0</v>
      </c>
      <c r="L14">
        <v>5.88</v>
      </c>
      <c r="M14">
        <v>100</v>
      </c>
      <c r="N14" t="s">
        <v>99</v>
      </c>
      <c r="O14" t="s">
        <v>27</v>
      </c>
      <c r="P14">
        <v>0</v>
      </c>
      <c r="Q14">
        <v>-3</v>
      </c>
      <c r="R14" t="s">
        <v>28</v>
      </c>
    </row>
    <row r="15" spans="1:18" x14ac:dyDescent="0.3">
      <c r="A15" t="s">
        <v>18</v>
      </c>
      <c r="B15" t="s">
        <v>84</v>
      </c>
      <c r="C15" t="s">
        <v>85</v>
      </c>
      <c r="D15" t="s">
        <v>86</v>
      </c>
      <c r="E15" t="s">
        <v>87</v>
      </c>
      <c r="F15" t="s">
        <v>88</v>
      </c>
      <c r="G15" t="s">
        <v>89</v>
      </c>
      <c r="H15" t="s">
        <v>90</v>
      </c>
      <c r="I15" t="s">
        <v>26</v>
      </c>
      <c r="J15">
        <v>11</v>
      </c>
      <c r="K15">
        <v>1.01</v>
      </c>
      <c r="L15">
        <v>10</v>
      </c>
      <c r="M15">
        <v>100</v>
      </c>
      <c r="N15" t="s">
        <v>100</v>
      </c>
      <c r="O15" t="s">
        <v>27</v>
      </c>
      <c r="P15">
        <v>1</v>
      </c>
      <c r="Q15">
        <f t="shared" si="0"/>
        <v>8.5909090909090907E-2</v>
      </c>
      <c r="R15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2026-09-18T21:00:05Z</dcterms:created>
  <dcterms:modified xsi:type="dcterms:W3CDTF">2026-09-18T21:06:17Z</dcterms:modified>
</cp:coreProperties>
</file>