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metodos_aprovados/"/>
    </mc:Choice>
  </mc:AlternateContent>
  <xr:revisionPtr revIDLastSave="17" documentId="11_141D46D35C50F20F62355476585DCE3A87479990" xr6:coauthVersionLast="47" xr6:coauthVersionMax="47" xr10:uidLastSave="{96918468-6AE3-4CC6-B5BC-971CDFB3C6F6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2" i="1"/>
</calcChain>
</file>

<file path=xl/sharedStrings.xml><?xml version="1.0" encoding="utf-8"?>
<sst xmlns="http://schemas.openxmlformats.org/spreadsheetml/2006/main" count="383" uniqueCount="154">
  <si>
    <t>Data</t>
  </si>
  <si>
    <t>Hora</t>
  </si>
  <si>
    <t>Liga</t>
  </si>
  <si>
    <t>Jogo</t>
  </si>
  <si>
    <t>Odd_Lay</t>
  </si>
  <si>
    <t>Placar</t>
  </si>
  <si>
    <t>Gols_Tot</t>
  </si>
  <si>
    <t>Método</t>
  </si>
  <si>
    <t>Mercado</t>
  </si>
  <si>
    <t>Lado</t>
  </si>
  <si>
    <t>Stake_Sugerida_R$</t>
  </si>
  <si>
    <t>Resultado</t>
  </si>
  <si>
    <t>1/0</t>
  </si>
  <si>
    <t>2026-08-29</t>
  </si>
  <si>
    <t>07:00</t>
  </si>
  <si>
    <t>JAPAN 2</t>
  </si>
  <si>
    <t>Tokushima x Oita</t>
  </si>
  <si>
    <t>1x0</t>
  </si>
  <si>
    <t>Lay Over 4.5 FT (Under Pesado)</t>
  </si>
  <si>
    <t>Over/Under 4.5</t>
  </si>
  <si>
    <t>LAY</t>
  </si>
  <si>
    <t>GREEN</t>
  </si>
  <si>
    <t>13:00</t>
  </si>
  <si>
    <t>ITALY 3</t>
  </si>
  <si>
    <t>Foggia x Salernitana</t>
  </si>
  <si>
    <t>1x1</t>
  </si>
  <si>
    <t>16:00</t>
  </si>
  <si>
    <t>ARGENTINA 2</t>
  </si>
  <si>
    <t>Atletico Rafaela x Tristan Suarez</t>
  </si>
  <si>
    <t>0x0</t>
  </si>
  <si>
    <t>Ciudad de Bolivar x Defensores de Belgrano</t>
  </si>
  <si>
    <t>Monopoli x Catania</t>
  </si>
  <si>
    <t>0x1</t>
  </si>
  <si>
    <t>16:30</t>
  </si>
  <si>
    <t>FC Midland x Nueva Chicago</t>
  </si>
  <si>
    <t>17:00</t>
  </si>
  <si>
    <t>BRAZIL 3</t>
  </si>
  <si>
    <t>SER Caxias do Sul x Inter Limeira</t>
  </si>
  <si>
    <t>2x0</t>
  </si>
  <si>
    <t>18:30</t>
  </si>
  <si>
    <t>BRAZIL 2</t>
  </si>
  <si>
    <t>Botafogo SP x Cuiaba</t>
  </si>
  <si>
    <t>2026-08-30</t>
  </si>
  <si>
    <t>15:00</t>
  </si>
  <si>
    <t>Club Atletico Mitre x CA Central Norte</t>
  </si>
  <si>
    <t>2x2</t>
  </si>
  <si>
    <t>15:30</t>
  </si>
  <si>
    <t>CA Atlanta x San Martin De San Juan</t>
  </si>
  <si>
    <t>Deportivo Moron x CA San Miguel</t>
  </si>
  <si>
    <t>2x1</t>
  </si>
  <si>
    <t>CA R de Cordoba x Colon</t>
  </si>
  <si>
    <t>19:00</t>
  </si>
  <si>
    <t>Quilmes x CA Temperley</t>
  </si>
  <si>
    <t>P/L</t>
  </si>
  <si>
    <t>21/08/2026</t>
  </si>
  <si>
    <t>SAUDI ARABIA 1</t>
  </si>
  <si>
    <t>Al Riyadh x Al Nassr</t>
  </si>
  <si>
    <t>WOM GERMANY 1</t>
  </si>
  <si>
    <t>Union Berlin W x Bayern Munich W</t>
  </si>
  <si>
    <t>ICELAND 2</t>
  </si>
  <si>
    <t>Aegir x Afturelding</t>
  </si>
  <si>
    <t>GERMANY CUP</t>
  </si>
  <si>
    <t>Hansa Rostock x Stuttgart</t>
  </si>
  <si>
    <t>WALES 1</t>
  </si>
  <si>
    <t>Trefelin x Caernarfon</t>
  </si>
  <si>
    <t>Holywell x Barry</t>
  </si>
  <si>
    <t>Cardiff Metropolitan x TNS</t>
  </si>
  <si>
    <t>22/08/2026</t>
  </si>
  <si>
    <t>ENGLAND 1</t>
  </si>
  <si>
    <t>Hull x Manchester Utd</t>
  </si>
  <si>
    <t>Ammanford x Connahs Q.</t>
  </si>
  <si>
    <t>1.FC Nurnberg W x Wolfsburg W</t>
  </si>
  <si>
    <t>NORTHERN IRELAND 2</t>
  </si>
  <si>
    <t>Strabane Athletic x H&amp;W Welders</t>
  </si>
  <si>
    <t>SLOVAKIA 2</t>
  </si>
  <si>
    <t>MFK Bytca x Z. Moravce-Vrable</t>
  </si>
  <si>
    <t>SPAIN 1</t>
  </si>
  <si>
    <t>Espanyol x Real Madrid</t>
  </si>
  <si>
    <t>23/08/2026</t>
  </si>
  <si>
    <t>ESTONIA 2</t>
  </si>
  <si>
    <t>Nomme Kalju U21 x Tartu Welco</t>
  </si>
  <si>
    <t>Westfalia Rhynern x SG Dynamo Dresden</t>
  </si>
  <si>
    <t>NETHERLANDS 1</t>
  </si>
  <si>
    <t>Cambuur x Feyenoord</t>
  </si>
  <si>
    <t>SLOVENIA 2</t>
  </si>
  <si>
    <t>Krsko Posavje x Tabor Sezana</t>
  </si>
  <si>
    <t>Phonix Lubeck x Paderborn</t>
  </si>
  <si>
    <t>BOLIVIA 1</t>
  </si>
  <si>
    <t>Real Oruro x Bolivar</t>
  </si>
  <si>
    <t>Elche x Barcelona</t>
  </si>
  <si>
    <t>24/08/2026</t>
  </si>
  <si>
    <t>Verl x Hamburger SV</t>
  </si>
  <si>
    <t>Altglienicke x Wolfsburg</t>
  </si>
  <si>
    <t>Wurzburger Kickers x FC Koln</t>
  </si>
  <si>
    <t>Hallescher x Schalke</t>
  </si>
  <si>
    <t>25/08/2026</t>
  </si>
  <si>
    <t>Al Ettifaq x Al Nassr</t>
  </si>
  <si>
    <t>ENGLAND CUP</t>
  </si>
  <si>
    <t>Doncaster x Middlesbrough</t>
  </si>
  <si>
    <t>26/08/2026</t>
  </si>
  <si>
    <t>Preston x Everton</t>
  </si>
  <si>
    <t>27/08/2026</t>
  </si>
  <si>
    <t>EUROPA LEAGUE</t>
  </si>
  <si>
    <t>Kauno Zalgiris (LTU) x Besiktas (TUR)</t>
  </si>
  <si>
    <t>Aarhus (DEN) x Benfica (POR)</t>
  </si>
  <si>
    <t>28/08/2026</t>
  </si>
  <si>
    <t>SOUTH KOREA 2</t>
  </si>
  <si>
    <t>Ansan Greeners x Daegu</t>
  </si>
  <si>
    <t>AUSTRIA 2</t>
  </si>
  <si>
    <t>Kapfenberg x BW Linz</t>
  </si>
  <si>
    <t>Al Khaleej x Al Hilal</t>
  </si>
  <si>
    <t>Holywell x Caernarfon</t>
  </si>
  <si>
    <t>PORTUGAL 1</t>
  </si>
  <si>
    <t>Rio Ave x Sporting CP</t>
  </si>
  <si>
    <t>29/08/2026</t>
  </si>
  <si>
    <t>Croatian HNL</t>
  </si>
  <si>
    <t>NK Istra x Dinamo Zagreb</t>
  </si>
  <si>
    <t>Indian Mizoram Premier League</t>
  </si>
  <si>
    <t>MLS FC x Aizawl FC</t>
  </si>
  <si>
    <t>Portuguese Primeira Liga</t>
  </si>
  <si>
    <t>Academico de Viseu x Porto</t>
  </si>
  <si>
    <t>30/08/2026</t>
  </si>
  <si>
    <t>CYPRUS 1</t>
  </si>
  <si>
    <t>Karmiotissa Polemidion x Pafos FC</t>
  </si>
  <si>
    <t>Cambuur Leeuwarden x FC Twente</t>
  </si>
  <si>
    <t>GREECE 1</t>
  </si>
  <si>
    <t>Kifisia x AEK Athens</t>
  </si>
  <si>
    <t>BOSNIA 1</t>
  </si>
  <si>
    <t>Radnik Bijeljina x Borac Banja Luka</t>
  </si>
  <si>
    <t>31/08/2026</t>
  </si>
  <si>
    <t>UKRAINE 1</t>
  </si>
  <si>
    <t>Zorya x FC Kharkiv</t>
  </si>
  <si>
    <t>0x4</t>
  </si>
  <si>
    <t>1x4</t>
  </si>
  <si>
    <t>0x7</t>
  </si>
  <si>
    <t>0x2</t>
  </si>
  <si>
    <t>1x3</t>
  </si>
  <si>
    <t>0x5</t>
  </si>
  <si>
    <t>2x8</t>
  </si>
  <si>
    <t>1x2</t>
  </si>
  <si>
    <t>2x4</t>
  </si>
  <si>
    <t>0x6</t>
  </si>
  <si>
    <t>2x5</t>
  </si>
  <si>
    <t>0x3</t>
  </si>
  <si>
    <t>3x3</t>
  </si>
  <si>
    <t>2x3</t>
  </si>
  <si>
    <t>1x5</t>
  </si>
  <si>
    <t>3x5</t>
  </si>
  <si>
    <t>2X2</t>
  </si>
  <si>
    <t>2X5</t>
  </si>
  <si>
    <t>0X3</t>
  </si>
  <si>
    <t>1X4</t>
  </si>
  <si>
    <t>1X1</t>
  </si>
  <si>
    <t>Lay Draw (Fav &lt;= 1.40)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</si>
</sst>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"/>
  <sheetViews>
    <sheetView tabSelected="1" workbookViewId="0">
      <selection activeCell="P23" sqref="P23"/>
    </sheetView>
  </sheetViews>
  <sheetFormatPr defaultRowHeight="14.4" x14ac:dyDescent="0.3"/>
  <cols>
    <col min="1" max="1" width="13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53</v>
      </c>
      <c r="O1" s="1"/>
    </row>
    <row r="2" spans="1:15" x14ac:dyDescent="0.3">
      <c r="A2" t="s">
        <v>13</v>
      </c>
      <c r="B2" t="s">
        <v>14</v>
      </c>
      <c r="C2" t="s">
        <v>15</v>
      </c>
      <c r="D2" t="s">
        <v>16</v>
      </c>
      <c r="E2">
        <v>17.32</v>
      </c>
      <c r="F2" t="s">
        <v>17</v>
      </c>
      <c r="G2">
        <v>1</v>
      </c>
      <c r="H2" t="s">
        <v>18</v>
      </c>
      <c r="I2" t="s">
        <v>19</v>
      </c>
      <c r="J2" t="s">
        <v>20</v>
      </c>
      <c r="K2">
        <v>12.25</v>
      </c>
      <c r="L2" t="s">
        <v>21</v>
      </c>
      <c r="M2">
        <v>1</v>
      </c>
      <c r="N2">
        <f>IF(M2=1,0.965/(E2-1),-1)</f>
        <v>5.9129901960784312E-2</v>
      </c>
    </row>
    <row r="3" spans="1:15" x14ac:dyDescent="0.3">
      <c r="A3" t="s">
        <v>13</v>
      </c>
      <c r="B3" t="s">
        <v>22</v>
      </c>
      <c r="C3" t="s">
        <v>23</v>
      </c>
      <c r="D3" t="s">
        <v>24</v>
      </c>
      <c r="E3">
        <v>2.65</v>
      </c>
      <c r="F3" t="s">
        <v>25</v>
      </c>
      <c r="G3">
        <v>2</v>
      </c>
      <c r="H3" t="s">
        <v>18</v>
      </c>
      <c r="I3" t="s">
        <v>19</v>
      </c>
      <c r="J3" t="s">
        <v>20</v>
      </c>
      <c r="K3">
        <v>121.21</v>
      </c>
      <c r="L3" t="s">
        <v>21</v>
      </c>
      <c r="M3">
        <v>1</v>
      </c>
      <c r="N3">
        <f t="shared" ref="N3:N56" si="0">IF(M3=1,0.965/(E3-1),-1)</f>
        <v>0.58484848484848484</v>
      </c>
    </row>
    <row r="4" spans="1:15" x14ac:dyDescent="0.3">
      <c r="A4" t="s">
        <v>13</v>
      </c>
      <c r="B4" t="s">
        <v>26</v>
      </c>
      <c r="C4" t="s">
        <v>27</v>
      </c>
      <c r="D4" t="s">
        <v>28</v>
      </c>
      <c r="E4">
        <v>11.55</v>
      </c>
      <c r="F4" t="s">
        <v>29</v>
      </c>
      <c r="G4">
        <v>0</v>
      </c>
      <c r="H4" t="s">
        <v>18</v>
      </c>
      <c r="I4" t="s">
        <v>19</v>
      </c>
      <c r="J4" t="s">
        <v>20</v>
      </c>
      <c r="K4">
        <v>18.96</v>
      </c>
      <c r="L4" t="s">
        <v>21</v>
      </c>
      <c r="M4">
        <v>1</v>
      </c>
      <c r="N4">
        <f t="shared" si="0"/>
        <v>9.1469194312796195E-2</v>
      </c>
    </row>
    <row r="5" spans="1:15" x14ac:dyDescent="0.3">
      <c r="A5" t="s">
        <v>13</v>
      </c>
      <c r="B5" t="s">
        <v>26</v>
      </c>
      <c r="C5" t="s">
        <v>27</v>
      </c>
      <c r="D5" t="s">
        <v>30</v>
      </c>
      <c r="E5">
        <v>7.98</v>
      </c>
      <c r="F5" t="s">
        <v>17</v>
      </c>
      <c r="G5">
        <v>1</v>
      </c>
      <c r="H5" t="s">
        <v>18</v>
      </c>
      <c r="I5" t="s">
        <v>19</v>
      </c>
      <c r="J5" t="s">
        <v>20</v>
      </c>
      <c r="K5">
        <v>28.65</v>
      </c>
      <c r="L5" t="s">
        <v>21</v>
      </c>
      <c r="M5">
        <v>1</v>
      </c>
      <c r="N5">
        <f t="shared" si="0"/>
        <v>0.13825214899713464</v>
      </c>
    </row>
    <row r="6" spans="1:15" x14ac:dyDescent="0.3">
      <c r="A6" t="s">
        <v>13</v>
      </c>
      <c r="B6" t="s">
        <v>26</v>
      </c>
      <c r="C6" t="s">
        <v>23</v>
      </c>
      <c r="D6" t="s">
        <v>31</v>
      </c>
      <c r="E6">
        <v>2.92</v>
      </c>
      <c r="F6" t="s">
        <v>32</v>
      </c>
      <c r="G6">
        <v>1</v>
      </c>
      <c r="H6" t="s">
        <v>18</v>
      </c>
      <c r="I6" t="s">
        <v>19</v>
      </c>
      <c r="J6" t="s">
        <v>20</v>
      </c>
      <c r="K6">
        <v>104.17</v>
      </c>
      <c r="L6" t="s">
        <v>21</v>
      </c>
      <c r="M6">
        <v>1</v>
      </c>
      <c r="N6">
        <f t="shared" si="0"/>
        <v>0.50260416666666663</v>
      </c>
    </row>
    <row r="7" spans="1:15" x14ac:dyDescent="0.3">
      <c r="A7" t="s">
        <v>13</v>
      </c>
      <c r="B7" t="s">
        <v>33</v>
      </c>
      <c r="C7" t="s">
        <v>27</v>
      </c>
      <c r="D7" t="s">
        <v>34</v>
      </c>
      <c r="E7">
        <v>15.75</v>
      </c>
      <c r="F7" t="s">
        <v>25</v>
      </c>
      <c r="G7">
        <v>2</v>
      </c>
      <c r="H7" t="s">
        <v>18</v>
      </c>
      <c r="I7" t="s">
        <v>19</v>
      </c>
      <c r="J7" t="s">
        <v>20</v>
      </c>
      <c r="K7">
        <v>13.56</v>
      </c>
      <c r="L7" t="s">
        <v>21</v>
      </c>
      <c r="M7">
        <v>1</v>
      </c>
      <c r="N7">
        <f t="shared" si="0"/>
        <v>6.5423728813559318E-2</v>
      </c>
    </row>
    <row r="8" spans="1:15" x14ac:dyDescent="0.3">
      <c r="A8" t="s">
        <v>13</v>
      </c>
      <c r="B8" t="s">
        <v>35</v>
      </c>
      <c r="C8" t="s">
        <v>36</v>
      </c>
      <c r="D8" t="s">
        <v>37</v>
      </c>
      <c r="E8">
        <v>15.75</v>
      </c>
      <c r="F8" t="s">
        <v>38</v>
      </c>
      <c r="G8">
        <v>2</v>
      </c>
      <c r="H8" t="s">
        <v>18</v>
      </c>
      <c r="I8" t="s">
        <v>19</v>
      </c>
      <c r="J8" t="s">
        <v>20</v>
      </c>
      <c r="K8">
        <v>13.56</v>
      </c>
      <c r="L8" t="s">
        <v>21</v>
      </c>
      <c r="M8">
        <v>1</v>
      </c>
      <c r="N8">
        <f t="shared" si="0"/>
        <v>6.5423728813559318E-2</v>
      </c>
    </row>
    <row r="9" spans="1:15" x14ac:dyDescent="0.3">
      <c r="A9" t="s">
        <v>13</v>
      </c>
      <c r="B9" t="s">
        <v>39</v>
      </c>
      <c r="C9" t="s">
        <v>40</v>
      </c>
      <c r="D9" t="s">
        <v>41</v>
      </c>
      <c r="E9">
        <v>18.38</v>
      </c>
      <c r="F9" t="s">
        <v>17</v>
      </c>
      <c r="G9">
        <v>1</v>
      </c>
      <c r="H9" t="s">
        <v>18</v>
      </c>
      <c r="I9" t="s">
        <v>19</v>
      </c>
      <c r="J9" t="s">
        <v>20</v>
      </c>
      <c r="K9">
        <v>11.51</v>
      </c>
      <c r="L9" t="s">
        <v>21</v>
      </c>
      <c r="M9">
        <v>1</v>
      </c>
      <c r="N9">
        <f t="shared" si="0"/>
        <v>5.552359033371692E-2</v>
      </c>
    </row>
    <row r="10" spans="1:15" x14ac:dyDescent="0.3">
      <c r="A10" t="s">
        <v>42</v>
      </c>
      <c r="B10" t="s">
        <v>43</v>
      </c>
      <c r="C10" t="s">
        <v>27</v>
      </c>
      <c r="D10" t="s">
        <v>44</v>
      </c>
      <c r="E10">
        <v>18.38</v>
      </c>
      <c r="F10" t="s">
        <v>45</v>
      </c>
      <c r="G10">
        <v>4</v>
      </c>
      <c r="H10" t="s">
        <v>18</v>
      </c>
      <c r="I10" t="s">
        <v>19</v>
      </c>
      <c r="J10" t="s">
        <v>20</v>
      </c>
      <c r="K10">
        <v>11.51</v>
      </c>
      <c r="L10" t="s">
        <v>21</v>
      </c>
      <c r="M10">
        <v>1</v>
      </c>
      <c r="N10">
        <f t="shared" si="0"/>
        <v>5.552359033371692E-2</v>
      </c>
    </row>
    <row r="11" spans="1:15" x14ac:dyDescent="0.3">
      <c r="A11" t="s">
        <v>42</v>
      </c>
      <c r="B11" t="s">
        <v>46</v>
      </c>
      <c r="C11" t="s">
        <v>27</v>
      </c>
      <c r="D11" t="s">
        <v>47</v>
      </c>
      <c r="E11">
        <v>18.38</v>
      </c>
      <c r="F11" t="s">
        <v>32</v>
      </c>
      <c r="G11">
        <v>1</v>
      </c>
      <c r="H11" t="s">
        <v>18</v>
      </c>
      <c r="I11" t="s">
        <v>19</v>
      </c>
      <c r="J11" t="s">
        <v>20</v>
      </c>
      <c r="K11">
        <v>11.51</v>
      </c>
      <c r="L11" t="s">
        <v>21</v>
      </c>
      <c r="M11">
        <v>1</v>
      </c>
      <c r="N11">
        <f t="shared" si="0"/>
        <v>5.552359033371692E-2</v>
      </c>
    </row>
    <row r="12" spans="1:15" x14ac:dyDescent="0.3">
      <c r="A12" t="s">
        <v>42</v>
      </c>
      <c r="B12" t="s">
        <v>46</v>
      </c>
      <c r="C12" t="s">
        <v>27</v>
      </c>
      <c r="D12" t="s">
        <v>48</v>
      </c>
      <c r="E12">
        <v>18.899999999999999</v>
      </c>
      <c r="F12" t="s">
        <v>49</v>
      </c>
      <c r="G12">
        <v>3</v>
      </c>
      <c r="H12" t="s">
        <v>18</v>
      </c>
      <c r="I12" t="s">
        <v>19</v>
      </c>
      <c r="J12" t="s">
        <v>20</v>
      </c>
      <c r="K12">
        <v>11.17</v>
      </c>
      <c r="L12" t="s">
        <v>21</v>
      </c>
      <c r="M12">
        <v>1</v>
      </c>
      <c r="N12">
        <f t="shared" si="0"/>
        <v>5.391061452513967E-2</v>
      </c>
    </row>
    <row r="13" spans="1:15" x14ac:dyDescent="0.3">
      <c r="A13" t="s">
        <v>42</v>
      </c>
      <c r="B13" t="s">
        <v>35</v>
      </c>
      <c r="C13" t="s">
        <v>27</v>
      </c>
      <c r="D13" t="s">
        <v>50</v>
      </c>
      <c r="E13">
        <v>18.38</v>
      </c>
      <c r="F13" t="s">
        <v>17</v>
      </c>
      <c r="G13">
        <v>1</v>
      </c>
      <c r="H13" t="s">
        <v>18</v>
      </c>
      <c r="I13" t="s">
        <v>19</v>
      </c>
      <c r="J13" t="s">
        <v>20</v>
      </c>
      <c r="K13">
        <v>11.51</v>
      </c>
      <c r="L13" t="s">
        <v>21</v>
      </c>
      <c r="M13">
        <v>1</v>
      </c>
      <c r="N13">
        <f t="shared" si="0"/>
        <v>5.552359033371692E-2</v>
      </c>
    </row>
    <row r="14" spans="1:15" x14ac:dyDescent="0.3">
      <c r="A14" t="s">
        <v>42</v>
      </c>
      <c r="B14" t="s">
        <v>51</v>
      </c>
      <c r="C14" t="s">
        <v>27</v>
      </c>
      <c r="D14" t="s">
        <v>52</v>
      </c>
      <c r="E14">
        <v>15.75</v>
      </c>
      <c r="F14" t="s">
        <v>29</v>
      </c>
      <c r="G14">
        <v>0</v>
      </c>
      <c r="H14" t="s">
        <v>18</v>
      </c>
      <c r="I14" t="s">
        <v>19</v>
      </c>
      <c r="J14" t="s">
        <v>20</v>
      </c>
      <c r="K14">
        <v>13.56</v>
      </c>
      <c r="L14" t="s">
        <v>21</v>
      </c>
      <c r="M14">
        <v>1</v>
      </c>
      <c r="N14">
        <f t="shared" si="0"/>
        <v>6.5423728813559318E-2</v>
      </c>
    </row>
    <row r="15" spans="1:15" x14ac:dyDescent="0.3">
      <c r="A15" t="s">
        <v>54</v>
      </c>
      <c r="C15" t="s">
        <v>55</v>
      </c>
      <c r="D15" t="s">
        <v>56</v>
      </c>
      <c r="E15">
        <v>5.92</v>
      </c>
      <c r="F15" t="s">
        <v>132</v>
      </c>
      <c r="H15" t="s">
        <v>153</v>
      </c>
      <c r="J15" t="s">
        <v>20</v>
      </c>
      <c r="M15">
        <v>1</v>
      </c>
      <c r="N15">
        <f t="shared" si="0"/>
        <v>0.19613821138211382</v>
      </c>
    </row>
    <row r="16" spans="1:15" x14ac:dyDescent="0.3">
      <c r="A16" t="s">
        <v>54</v>
      </c>
      <c r="C16" t="s">
        <v>57</v>
      </c>
      <c r="D16" t="s">
        <v>58</v>
      </c>
      <c r="E16">
        <v>6.39</v>
      </c>
      <c r="F16" t="s">
        <v>133</v>
      </c>
      <c r="H16" t="s">
        <v>153</v>
      </c>
      <c r="J16" t="s">
        <v>20</v>
      </c>
      <c r="M16">
        <v>1</v>
      </c>
      <c r="N16">
        <f t="shared" si="0"/>
        <v>0.1790352504638219</v>
      </c>
    </row>
    <row r="17" spans="1:14" x14ac:dyDescent="0.3">
      <c r="A17" t="s">
        <v>54</v>
      </c>
      <c r="C17" t="s">
        <v>59</v>
      </c>
      <c r="D17" t="s">
        <v>60</v>
      </c>
      <c r="E17">
        <v>8.24</v>
      </c>
      <c r="F17" t="s">
        <v>134</v>
      </c>
      <c r="H17" t="s">
        <v>153</v>
      </c>
      <c r="J17" t="s">
        <v>20</v>
      </c>
      <c r="M17">
        <v>1</v>
      </c>
      <c r="N17">
        <f t="shared" si="0"/>
        <v>0.13328729281767954</v>
      </c>
    </row>
    <row r="18" spans="1:14" x14ac:dyDescent="0.3">
      <c r="A18" t="s">
        <v>54</v>
      </c>
      <c r="C18" t="s">
        <v>61</v>
      </c>
      <c r="D18" t="s">
        <v>62</v>
      </c>
      <c r="E18">
        <v>6.18</v>
      </c>
      <c r="F18" t="s">
        <v>132</v>
      </c>
      <c r="H18" t="s">
        <v>153</v>
      </c>
      <c r="J18" t="s">
        <v>20</v>
      </c>
      <c r="M18">
        <v>1</v>
      </c>
      <c r="N18">
        <f t="shared" si="0"/>
        <v>0.18629343629343631</v>
      </c>
    </row>
    <row r="19" spans="1:14" x14ac:dyDescent="0.3">
      <c r="A19" t="s">
        <v>54</v>
      </c>
      <c r="C19" t="s">
        <v>63</v>
      </c>
      <c r="D19" t="s">
        <v>64</v>
      </c>
      <c r="E19">
        <v>5.66</v>
      </c>
      <c r="F19" t="s">
        <v>135</v>
      </c>
      <c r="H19" t="s">
        <v>153</v>
      </c>
      <c r="J19" t="s">
        <v>20</v>
      </c>
      <c r="M19">
        <v>1</v>
      </c>
      <c r="N19">
        <f t="shared" si="0"/>
        <v>0.20708154506437768</v>
      </c>
    </row>
    <row r="20" spans="1:14" x14ac:dyDescent="0.3">
      <c r="A20" t="s">
        <v>54</v>
      </c>
      <c r="C20" t="s">
        <v>63</v>
      </c>
      <c r="D20" t="s">
        <v>65</v>
      </c>
      <c r="E20">
        <v>5.15</v>
      </c>
      <c r="F20" t="s">
        <v>136</v>
      </c>
      <c r="H20" t="s">
        <v>153</v>
      </c>
      <c r="J20" t="s">
        <v>20</v>
      </c>
      <c r="M20">
        <v>1</v>
      </c>
      <c r="N20">
        <f t="shared" si="0"/>
        <v>0.23253012048192767</v>
      </c>
    </row>
    <row r="21" spans="1:14" x14ac:dyDescent="0.3">
      <c r="A21" t="s">
        <v>54</v>
      </c>
      <c r="C21" t="s">
        <v>63</v>
      </c>
      <c r="D21" t="s">
        <v>66</v>
      </c>
      <c r="E21">
        <v>5.66</v>
      </c>
      <c r="F21" t="s">
        <v>137</v>
      </c>
      <c r="H21" t="s">
        <v>153</v>
      </c>
      <c r="J21" t="s">
        <v>20</v>
      </c>
      <c r="M21">
        <v>1</v>
      </c>
      <c r="N21">
        <f t="shared" si="0"/>
        <v>0.20708154506437768</v>
      </c>
    </row>
    <row r="22" spans="1:14" x14ac:dyDescent="0.3">
      <c r="A22" t="s">
        <v>67</v>
      </c>
      <c r="C22" t="s">
        <v>68</v>
      </c>
      <c r="D22" t="s">
        <v>69</v>
      </c>
      <c r="E22">
        <v>5.15</v>
      </c>
      <c r="F22" t="s">
        <v>38</v>
      </c>
      <c r="H22" t="s">
        <v>153</v>
      </c>
      <c r="J22" t="s">
        <v>20</v>
      </c>
      <c r="M22">
        <v>1</v>
      </c>
      <c r="N22">
        <f t="shared" si="0"/>
        <v>0.23253012048192767</v>
      </c>
    </row>
    <row r="23" spans="1:14" x14ac:dyDescent="0.3">
      <c r="A23" t="s">
        <v>67</v>
      </c>
      <c r="C23" t="s">
        <v>63</v>
      </c>
      <c r="D23" t="s">
        <v>70</v>
      </c>
      <c r="E23">
        <v>4.8899999999999997</v>
      </c>
      <c r="F23" t="s">
        <v>135</v>
      </c>
      <c r="H23" t="s">
        <v>153</v>
      </c>
      <c r="J23" t="s">
        <v>20</v>
      </c>
      <c r="M23">
        <v>1</v>
      </c>
      <c r="N23">
        <f t="shared" si="0"/>
        <v>0.24807197943444731</v>
      </c>
    </row>
    <row r="24" spans="1:14" x14ac:dyDescent="0.3">
      <c r="A24" t="s">
        <v>67</v>
      </c>
      <c r="C24" t="s">
        <v>57</v>
      </c>
      <c r="D24" t="s">
        <v>71</v>
      </c>
      <c r="E24">
        <v>5.77</v>
      </c>
      <c r="F24" t="s">
        <v>138</v>
      </c>
      <c r="H24" t="s">
        <v>153</v>
      </c>
      <c r="J24" t="s">
        <v>20</v>
      </c>
      <c r="M24">
        <v>1</v>
      </c>
      <c r="N24">
        <f t="shared" si="0"/>
        <v>0.20230607966457023</v>
      </c>
    </row>
    <row r="25" spans="1:14" x14ac:dyDescent="0.3">
      <c r="A25" t="s">
        <v>67</v>
      </c>
      <c r="C25" t="s">
        <v>72</v>
      </c>
      <c r="D25" t="s">
        <v>73</v>
      </c>
      <c r="E25">
        <v>5.15</v>
      </c>
      <c r="F25" t="s">
        <v>139</v>
      </c>
      <c r="H25" t="s">
        <v>153</v>
      </c>
      <c r="J25" t="s">
        <v>20</v>
      </c>
      <c r="M25">
        <v>1</v>
      </c>
      <c r="N25">
        <f t="shared" si="0"/>
        <v>0.23253012048192767</v>
      </c>
    </row>
    <row r="26" spans="1:14" x14ac:dyDescent="0.3">
      <c r="A26" t="s">
        <v>67</v>
      </c>
      <c r="C26" t="s">
        <v>74</v>
      </c>
      <c r="D26" t="s">
        <v>75</v>
      </c>
      <c r="E26">
        <v>4.6399999999999997</v>
      </c>
      <c r="F26" t="s">
        <v>49</v>
      </c>
      <c r="H26" t="s">
        <v>153</v>
      </c>
      <c r="J26" t="s">
        <v>20</v>
      </c>
      <c r="M26">
        <v>1</v>
      </c>
      <c r="N26">
        <f t="shared" si="0"/>
        <v>0.26510989010989011</v>
      </c>
    </row>
    <row r="27" spans="1:14" x14ac:dyDescent="0.3">
      <c r="A27" t="s">
        <v>67</v>
      </c>
      <c r="C27" t="s">
        <v>76</v>
      </c>
      <c r="D27" t="s">
        <v>77</v>
      </c>
      <c r="E27">
        <v>5.15</v>
      </c>
      <c r="F27" t="s">
        <v>139</v>
      </c>
      <c r="H27" t="s">
        <v>153</v>
      </c>
      <c r="J27" t="s">
        <v>20</v>
      </c>
      <c r="M27">
        <v>1</v>
      </c>
      <c r="N27">
        <f t="shared" si="0"/>
        <v>0.23253012048192767</v>
      </c>
    </row>
    <row r="28" spans="1:14" x14ac:dyDescent="0.3">
      <c r="A28" t="s">
        <v>78</v>
      </c>
      <c r="C28" t="s">
        <v>79</v>
      </c>
      <c r="D28" t="s">
        <v>80</v>
      </c>
      <c r="E28">
        <v>7.21</v>
      </c>
      <c r="F28" t="s">
        <v>140</v>
      </c>
      <c r="H28" t="s">
        <v>153</v>
      </c>
      <c r="J28" t="s">
        <v>20</v>
      </c>
      <c r="M28">
        <v>1</v>
      </c>
      <c r="N28">
        <f t="shared" si="0"/>
        <v>0.15539452495974235</v>
      </c>
    </row>
    <row r="29" spans="1:14" x14ac:dyDescent="0.3">
      <c r="A29" t="s">
        <v>78</v>
      </c>
      <c r="C29" t="s">
        <v>61</v>
      </c>
      <c r="D29" t="s">
        <v>81</v>
      </c>
      <c r="E29">
        <v>8.24</v>
      </c>
      <c r="F29" t="s">
        <v>141</v>
      </c>
      <c r="H29" t="s">
        <v>153</v>
      </c>
      <c r="J29" t="s">
        <v>20</v>
      </c>
      <c r="M29">
        <v>1</v>
      </c>
      <c r="N29">
        <f t="shared" si="0"/>
        <v>0.13328729281767954</v>
      </c>
    </row>
    <row r="30" spans="1:14" x14ac:dyDescent="0.3">
      <c r="A30" t="s">
        <v>78</v>
      </c>
      <c r="C30" t="s">
        <v>82</v>
      </c>
      <c r="D30" t="s">
        <v>83</v>
      </c>
      <c r="E30">
        <v>6.7</v>
      </c>
      <c r="F30" t="s">
        <v>142</v>
      </c>
      <c r="H30" t="s">
        <v>153</v>
      </c>
      <c r="J30" t="s">
        <v>20</v>
      </c>
      <c r="M30">
        <v>1</v>
      </c>
      <c r="N30">
        <f t="shared" si="0"/>
        <v>0.16929824561403509</v>
      </c>
    </row>
    <row r="31" spans="1:14" x14ac:dyDescent="0.3">
      <c r="A31" t="s">
        <v>78</v>
      </c>
      <c r="C31" t="s">
        <v>84</v>
      </c>
      <c r="D31" t="s">
        <v>85</v>
      </c>
      <c r="E31">
        <v>4.74</v>
      </c>
      <c r="F31" t="s">
        <v>141</v>
      </c>
      <c r="H31" t="s">
        <v>153</v>
      </c>
      <c r="J31" t="s">
        <v>20</v>
      </c>
      <c r="M31">
        <v>1</v>
      </c>
      <c r="N31">
        <f t="shared" si="0"/>
        <v>0.25802139037433153</v>
      </c>
    </row>
    <row r="32" spans="1:14" x14ac:dyDescent="0.3">
      <c r="A32" t="s">
        <v>78</v>
      </c>
      <c r="C32" t="s">
        <v>61</v>
      </c>
      <c r="D32" t="s">
        <v>86</v>
      </c>
      <c r="E32">
        <v>7.72</v>
      </c>
      <c r="F32" t="s">
        <v>140</v>
      </c>
      <c r="H32" t="s">
        <v>153</v>
      </c>
      <c r="J32" t="s">
        <v>20</v>
      </c>
      <c r="M32">
        <v>1</v>
      </c>
      <c r="N32">
        <f t="shared" si="0"/>
        <v>0.14360119047619047</v>
      </c>
    </row>
    <row r="33" spans="1:14" x14ac:dyDescent="0.3">
      <c r="A33" t="s">
        <v>78</v>
      </c>
      <c r="C33" t="s">
        <v>87</v>
      </c>
      <c r="D33" t="s">
        <v>88</v>
      </c>
      <c r="E33">
        <v>5.41</v>
      </c>
      <c r="F33" t="s">
        <v>140</v>
      </c>
      <c r="H33" t="s">
        <v>153</v>
      </c>
      <c r="J33" t="s">
        <v>20</v>
      </c>
      <c r="M33">
        <v>1</v>
      </c>
      <c r="N33">
        <f t="shared" si="0"/>
        <v>0.21882086167800452</v>
      </c>
    </row>
    <row r="34" spans="1:14" x14ac:dyDescent="0.3">
      <c r="A34" t="s">
        <v>78</v>
      </c>
      <c r="C34" t="s">
        <v>76</v>
      </c>
      <c r="D34" t="s">
        <v>89</v>
      </c>
      <c r="E34">
        <v>5.66</v>
      </c>
      <c r="F34" t="s">
        <v>137</v>
      </c>
      <c r="H34" t="s">
        <v>153</v>
      </c>
      <c r="J34" t="s">
        <v>20</v>
      </c>
      <c r="M34">
        <v>1</v>
      </c>
      <c r="N34">
        <f t="shared" si="0"/>
        <v>0.20708154506437768</v>
      </c>
    </row>
    <row r="35" spans="1:14" x14ac:dyDescent="0.3">
      <c r="A35" t="s">
        <v>90</v>
      </c>
      <c r="C35" t="s">
        <v>61</v>
      </c>
      <c r="D35" t="s">
        <v>91</v>
      </c>
      <c r="E35">
        <v>5.15</v>
      </c>
      <c r="F35" t="s">
        <v>143</v>
      </c>
      <c r="H35" t="s">
        <v>153</v>
      </c>
      <c r="J35" t="s">
        <v>20</v>
      </c>
      <c r="M35">
        <v>1</v>
      </c>
      <c r="N35">
        <f t="shared" si="0"/>
        <v>0.23253012048192767</v>
      </c>
    </row>
    <row r="36" spans="1:14" x14ac:dyDescent="0.3">
      <c r="A36" t="s">
        <v>90</v>
      </c>
      <c r="C36" t="s">
        <v>61</v>
      </c>
      <c r="D36" t="s">
        <v>92</v>
      </c>
      <c r="E36">
        <v>9.27</v>
      </c>
      <c r="F36" t="s">
        <v>144</v>
      </c>
      <c r="H36" t="s">
        <v>153</v>
      </c>
      <c r="J36" t="s">
        <v>20</v>
      </c>
      <c r="M36">
        <v>0</v>
      </c>
      <c r="N36">
        <f t="shared" si="0"/>
        <v>-1</v>
      </c>
    </row>
    <row r="37" spans="1:14" x14ac:dyDescent="0.3">
      <c r="A37" t="s">
        <v>90</v>
      </c>
      <c r="C37" t="s">
        <v>61</v>
      </c>
      <c r="D37" t="s">
        <v>93</v>
      </c>
      <c r="E37">
        <v>6.18</v>
      </c>
      <c r="F37" t="s">
        <v>139</v>
      </c>
      <c r="H37" t="s">
        <v>153</v>
      </c>
      <c r="J37" t="s">
        <v>20</v>
      </c>
      <c r="M37">
        <v>1</v>
      </c>
      <c r="N37">
        <f t="shared" si="0"/>
        <v>0.18629343629343631</v>
      </c>
    </row>
    <row r="38" spans="1:14" x14ac:dyDescent="0.3">
      <c r="A38" t="s">
        <v>90</v>
      </c>
      <c r="C38" t="s">
        <v>61</v>
      </c>
      <c r="D38" t="s">
        <v>94</v>
      </c>
      <c r="E38">
        <v>7.21</v>
      </c>
      <c r="F38" t="s">
        <v>142</v>
      </c>
      <c r="H38" t="s">
        <v>153</v>
      </c>
      <c r="J38" t="s">
        <v>20</v>
      </c>
      <c r="M38">
        <v>1</v>
      </c>
      <c r="N38">
        <f t="shared" si="0"/>
        <v>0.15539452495974235</v>
      </c>
    </row>
    <row r="39" spans="1:14" x14ac:dyDescent="0.3">
      <c r="A39" t="s">
        <v>95</v>
      </c>
      <c r="C39" t="s">
        <v>55</v>
      </c>
      <c r="D39" t="s">
        <v>96</v>
      </c>
      <c r="E39">
        <v>5.66</v>
      </c>
      <c r="F39" t="s">
        <v>145</v>
      </c>
      <c r="H39" t="s">
        <v>153</v>
      </c>
      <c r="J39" t="s">
        <v>20</v>
      </c>
      <c r="M39">
        <v>1</v>
      </c>
      <c r="N39">
        <f t="shared" si="0"/>
        <v>0.20708154506437768</v>
      </c>
    </row>
    <row r="40" spans="1:14" x14ac:dyDescent="0.3">
      <c r="A40" t="s">
        <v>95</v>
      </c>
      <c r="C40" t="s">
        <v>97</v>
      </c>
      <c r="D40" t="s">
        <v>98</v>
      </c>
      <c r="E40">
        <v>4.8899999999999997</v>
      </c>
      <c r="F40" t="s">
        <v>136</v>
      </c>
      <c r="H40" t="s">
        <v>153</v>
      </c>
      <c r="J40" t="s">
        <v>20</v>
      </c>
      <c r="M40">
        <v>1</v>
      </c>
      <c r="N40">
        <f t="shared" si="0"/>
        <v>0.24807197943444731</v>
      </c>
    </row>
    <row r="41" spans="1:14" x14ac:dyDescent="0.3">
      <c r="A41" t="s">
        <v>99</v>
      </c>
      <c r="C41" t="s">
        <v>97</v>
      </c>
      <c r="D41" t="s">
        <v>100</v>
      </c>
      <c r="E41">
        <v>5.41</v>
      </c>
      <c r="F41" t="s">
        <v>132</v>
      </c>
      <c r="H41" t="s">
        <v>153</v>
      </c>
      <c r="J41" t="s">
        <v>20</v>
      </c>
      <c r="M41">
        <v>1</v>
      </c>
      <c r="N41">
        <f t="shared" si="0"/>
        <v>0.21882086167800452</v>
      </c>
    </row>
    <row r="42" spans="1:14" x14ac:dyDescent="0.3">
      <c r="A42" t="s">
        <v>101</v>
      </c>
      <c r="C42" t="s">
        <v>102</v>
      </c>
      <c r="D42" t="s">
        <v>103</v>
      </c>
      <c r="E42">
        <v>5.15</v>
      </c>
      <c r="F42" t="s">
        <v>17</v>
      </c>
      <c r="H42" t="s">
        <v>153</v>
      </c>
      <c r="J42" t="s">
        <v>20</v>
      </c>
      <c r="M42">
        <v>1</v>
      </c>
      <c r="N42">
        <f t="shared" si="0"/>
        <v>0.23253012048192767</v>
      </c>
    </row>
    <row r="43" spans="1:14" x14ac:dyDescent="0.3">
      <c r="A43" t="s">
        <v>101</v>
      </c>
      <c r="C43" t="s">
        <v>102</v>
      </c>
      <c r="D43" t="s">
        <v>104</v>
      </c>
      <c r="E43">
        <v>4.8899999999999997</v>
      </c>
      <c r="F43" t="s">
        <v>136</v>
      </c>
      <c r="H43" t="s">
        <v>153</v>
      </c>
      <c r="J43" t="s">
        <v>20</v>
      </c>
      <c r="M43">
        <v>1</v>
      </c>
      <c r="N43">
        <f t="shared" si="0"/>
        <v>0.24807197943444731</v>
      </c>
    </row>
    <row r="44" spans="1:14" x14ac:dyDescent="0.3">
      <c r="A44" t="s">
        <v>105</v>
      </c>
      <c r="C44" t="s">
        <v>106</v>
      </c>
      <c r="D44" t="s">
        <v>107</v>
      </c>
      <c r="E44">
        <v>4.6399999999999997</v>
      </c>
      <c r="F44" t="s">
        <v>139</v>
      </c>
      <c r="H44" t="s">
        <v>153</v>
      </c>
      <c r="J44" t="s">
        <v>20</v>
      </c>
      <c r="M44">
        <v>1</v>
      </c>
      <c r="N44">
        <f t="shared" si="0"/>
        <v>0.26510989010989011</v>
      </c>
    </row>
    <row r="45" spans="1:14" x14ac:dyDescent="0.3">
      <c r="A45" t="s">
        <v>105</v>
      </c>
      <c r="C45" t="s">
        <v>108</v>
      </c>
      <c r="D45" t="s">
        <v>109</v>
      </c>
      <c r="E45">
        <v>4.8899999999999997</v>
      </c>
      <c r="F45" t="s">
        <v>49</v>
      </c>
      <c r="H45" t="s">
        <v>153</v>
      </c>
      <c r="J45" t="s">
        <v>20</v>
      </c>
      <c r="M45">
        <v>1</v>
      </c>
      <c r="N45">
        <f t="shared" si="0"/>
        <v>0.24807197943444731</v>
      </c>
    </row>
    <row r="46" spans="1:14" x14ac:dyDescent="0.3">
      <c r="A46" t="s">
        <v>105</v>
      </c>
      <c r="C46" t="s">
        <v>55</v>
      </c>
      <c r="D46" t="s">
        <v>110</v>
      </c>
      <c r="E46">
        <v>4.6399999999999997</v>
      </c>
      <c r="F46" t="s">
        <v>146</v>
      </c>
      <c r="H46" t="s">
        <v>153</v>
      </c>
      <c r="J46" t="s">
        <v>20</v>
      </c>
      <c r="M46">
        <v>1</v>
      </c>
      <c r="N46">
        <f t="shared" si="0"/>
        <v>0.26510989010989011</v>
      </c>
    </row>
    <row r="47" spans="1:14" x14ac:dyDescent="0.3">
      <c r="A47" t="s">
        <v>105</v>
      </c>
      <c r="C47" t="s">
        <v>63</v>
      </c>
      <c r="D47" t="s">
        <v>111</v>
      </c>
      <c r="E47">
        <v>6.18</v>
      </c>
      <c r="F47" t="s">
        <v>147</v>
      </c>
      <c r="H47" t="s">
        <v>153</v>
      </c>
      <c r="J47" t="s">
        <v>20</v>
      </c>
      <c r="M47">
        <v>1</v>
      </c>
      <c r="N47">
        <f t="shared" si="0"/>
        <v>0.18629343629343631</v>
      </c>
    </row>
    <row r="48" spans="1:14" x14ac:dyDescent="0.3">
      <c r="A48" t="s">
        <v>105</v>
      </c>
      <c r="C48" t="s">
        <v>112</v>
      </c>
      <c r="D48" t="s">
        <v>113</v>
      </c>
      <c r="E48">
        <v>5.66</v>
      </c>
      <c r="F48" t="s">
        <v>132</v>
      </c>
      <c r="H48" t="s">
        <v>153</v>
      </c>
      <c r="J48" t="s">
        <v>20</v>
      </c>
      <c r="M48">
        <v>1</v>
      </c>
      <c r="N48">
        <f t="shared" si="0"/>
        <v>0.20708154506437768</v>
      </c>
    </row>
    <row r="49" spans="1:14" x14ac:dyDescent="0.3">
      <c r="A49" t="s">
        <v>114</v>
      </c>
      <c r="C49" t="s">
        <v>115</v>
      </c>
      <c r="D49" t="s">
        <v>116</v>
      </c>
      <c r="E49">
        <v>6.08</v>
      </c>
      <c r="F49" t="s">
        <v>148</v>
      </c>
      <c r="H49" t="s">
        <v>153</v>
      </c>
      <c r="J49" t="s">
        <v>20</v>
      </c>
      <c r="M49">
        <v>0</v>
      </c>
      <c r="N49">
        <f t="shared" si="0"/>
        <v>-1</v>
      </c>
    </row>
    <row r="50" spans="1:14" x14ac:dyDescent="0.3">
      <c r="A50" t="s">
        <v>114</v>
      </c>
      <c r="C50" t="s">
        <v>117</v>
      </c>
      <c r="D50" t="s">
        <v>118</v>
      </c>
      <c r="E50">
        <v>6.8</v>
      </c>
      <c r="F50" t="s">
        <v>149</v>
      </c>
      <c r="H50" t="s">
        <v>153</v>
      </c>
      <c r="J50" t="s">
        <v>20</v>
      </c>
      <c r="M50">
        <v>1</v>
      </c>
      <c r="N50">
        <f t="shared" si="0"/>
        <v>0.16637931034482759</v>
      </c>
    </row>
    <row r="51" spans="1:14" x14ac:dyDescent="0.3">
      <c r="A51" t="s">
        <v>114</v>
      </c>
      <c r="C51" t="s">
        <v>119</v>
      </c>
      <c r="D51" t="s">
        <v>120</v>
      </c>
      <c r="E51">
        <v>5.67</v>
      </c>
      <c r="F51" t="s">
        <v>150</v>
      </c>
      <c r="H51" t="s">
        <v>153</v>
      </c>
      <c r="J51" t="s">
        <v>20</v>
      </c>
      <c r="M51">
        <v>1</v>
      </c>
      <c r="N51">
        <f t="shared" si="0"/>
        <v>0.20663811563169165</v>
      </c>
    </row>
    <row r="52" spans="1:14" x14ac:dyDescent="0.3">
      <c r="A52" t="s">
        <v>121</v>
      </c>
      <c r="C52" t="s">
        <v>122</v>
      </c>
      <c r="D52" t="s">
        <v>123</v>
      </c>
      <c r="E52">
        <v>6.18</v>
      </c>
      <c r="F52" t="s">
        <v>150</v>
      </c>
      <c r="H52" t="s">
        <v>153</v>
      </c>
      <c r="J52" t="s">
        <v>20</v>
      </c>
      <c r="M52">
        <v>1</v>
      </c>
      <c r="N52">
        <f t="shared" si="0"/>
        <v>0.18629343629343631</v>
      </c>
    </row>
    <row r="53" spans="1:14" x14ac:dyDescent="0.3">
      <c r="A53" t="s">
        <v>121</v>
      </c>
      <c r="C53" t="s">
        <v>82</v>
      </c>
      <c r="D53" t="s">
        <v>124</v>
      </c>
      <c r="E53">
        <v>6.59</v>
      </c>
      <c r="F53" t="s">
        <v>151</v>
      </c>
      <c r="H53" t="s">
        <v>153</v>
      </c>
      <c r="J53" t="s">
        <v>20</v>
      </c>
      <c r="M53">
        <v>1</v>
      </c>
      <c r="N53">
        <f t="shared" si="0"/>
        <v>0.17262969588550983</v>
      </c>
    </row>
    <row r="54" spans="1:14" x14ac:dyDescent="0.3">
      <c r="A54" t="s">
        <v>121</v>
      </c>
      <c r="C54" t="s">
        <v>125</v>
      </c>
      <c r="D54" t="s">
        <v>126</v>
      </c>
      <c r="E54">
        <v>5.77</v>
      </c>
      <c r="F54" t="s">
        <v>152</v>
      </c>
      <c r="H54" t="s">
        <v>153</v>
      </c>
      <c r="J54" t="s">
        <v>20</v>
      </c>
      <c r="M54">
        <v>0</v>
      </c>
      <c r="N54">
        <f t="shared" si="0"/>
        <v>-1</v>
      </c>
    </row>
    <row r="55" spans="1:14" x14ac:dyDescent="0.3">
      <c r="A55" t="s">
        <v>121</v>
      </c>
      <c r="C55" t="s">
        <v>127</v>
      </c>
      <c r="D55" t="s">
        <v>128</v>
      </c>
      <c r="E55">
        <v>5.46</v>
      </c>
      <c r="F55" t="s">
        <v>148</v>
      </c>
      <c r="H55" t="s">
        <v>153</v>
      </c>
      <c r="J55" t="s">
        <v>20</v>
      </c>
      <c r="M55">
        <v>0</v>
      </c>
      <c r="N55">
        <f t="shared" si="0"/>
        <v>-1</v>
      </c>
    </row>
    <row r="56" spans="1:14" x14ac:dyDescent="0.3">
      <c r="A56" t="s">
        <v>129</v>
      </c>
      <c r="C56" t="s">
        <v>130</v>
      </c>
      <c r="D56" t="s">
        <v>131</v>
      </c>
      <c r="E56">
        <v>5.25</v>
      </c>
      <c r="F56" t="s">
        <v>150</v>
      </c>
      <c r="H56" t="s">
        <v>153</v>
      </c>
      <c r="J56" t="s">
        <v>20</v>
      </c>
      <c r="M56">
        <v>1</v>
      </c>
      <c r="N56">
        <f t="shared" si="0"/>
        <v>0.22705882352941176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2026-08-31T14:28:56Z</dcterms:created>
  <dcterms:modified xsi:type="dcterms:W3CDTF">2026-09-01T01:57:38Z</dcterms:modified>
</cp:coreProperties>
</file>