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5" documentId="11_141D46D35C50F20F62355476585DCE3A87479990" xr6:coauthVersionLast="47" xr6:coauthVersionMax="47" xr10:uidLastSave="{61C8F35D-70AC-4C98-8DE0-0F59E454C136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2" i="1"/>
</calcChain>
</file>

<file path=xl/sharedStrings.xml><?xml version="1.0" encoding="utf-8"?>
<sst xmlns="http://schemas.openxmlformats.org/spreadsheetml/2006/main" count="131" uniqueCount="54">
  <si>
    <t>Data</t>
  </si>
  <si>
    <t>Hora</t>
  </si>
  <si>
    <t>Liga</t>
  </si>
  <si>
    <t>Jogo</t>
  </si>
  <si>
    <t>Odd_Lay</t>
  </si>
  <si>
    <t>Placar</t>
  </si>
  <si>
    <t>Gols_Tot</t>
  </si>
  <si>
    <t>Método</t>
  </si>
  <si>
    <t>Mercado</t>
  </si>
  <si>
    <t>Lado</t>
  </si>
  <si>
    <t>Stake_Sugerida_R$</t>
  </si>
  <si>
    <t>Resultado</t>
  </si>
  <si>
    <t>1/0</t>
  </si>
  <si>
    <t>2026-08-29</t>
  </si>
  <si>
    <t>07:00</t>
  </si>
  <si>
    <t>JAPAN 2</t>
  </si>
  <si>
    <t>Tokushima x Oita</t>
  </si>
  <si>
    <t>1x0</t>
  </si>
  <si>
    <t>Lay Over 4.5 FT (Under Pesado)</t>
  </si>
  <si>
    <t>Over/Under 4.5</t>
  </si>
  <si>
    <t>LAY</t>
  </si>
  <si>
    <t>GREEN</t>
  </si>
  <si>
    <t>13:00</t>
  </si>
  <si>
    <t>ITALY 3</t>
  </si>
  <si>
    <t>Foggia x Salernitana</t>
  </si>
  <si>
    <t>1x1</t>
  </si>
  <si>
    <t>16:00</t>
  </si>
  <si>
    <t>ARGENTINA 2</t>
  </si>
  <si>
    <t>Atletico Rafaela x Tristan Suarez</t>
  </si>
  <si>
    <t>0x0</t>
  </si>
  <si>
    <t>Ciudad de Bolivar x Defensores de Belgrano</t>
  </si>
  <si>
    <t>Monopoli x Catania</t>
  </si>
  <si>
    <t>0x1</t>
  </si>
  <si>
    <t>16:30</t>
  </si>
  <si>
    <t>FC Midland x Nueva Chicago</t>
  </si>
  <si>
    <t>17:00</t>
  </si>
  <si>
    <t>BRAZIL 3</t>
  </si>
  <si>
    <t>SER Caxias do Sul x Inter Limeira</t>
  </si>
  <si>
    <t>2x0</t>
  </si>
  <si>
    <t>18:30</t>
  </si>
  <si>
    <t>BRAZIL 2</t>
  </si>
  <si>
    <t>Botafogo SP x Cuiaba</t>
  </si>
  <si>
    <t>2026-08-30</t>
  </si>
  <si>
    <t>15:00</t>
  </si>
  <si>
    <t>Club Atletico Mitre x CA Central Norte</t>
  </si>
  <si>
    <t>2x2</t>
  </si>
  <si>
    <t>15:30</t>
  </si>
  <si>
    <t>CA Atlanta x San Martin De San Juan</t>
  </si>
  <si>
    <t>Deportivo Moron x CA San Miguel</t>
  </si>
  <si>
    <t>2x1</t>
  </si>
  <si>
    <t>CA R de Cordoba x Colon</t>
  </si>
  <si>
    <t>19:00</t>
  </si>
  <si>
    <t>Quilmes x CA Temperley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</si>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</sst>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tabSelected="1" workbookViewId="0">
      <selection activeCell="I21" sqref="I21"/>
    </sheetView>
  </sheetViews>
  <sheetFormatPr defaultRowHeight="14.4" x14ac:dyDescent="0.3"/>
  <cols>
    <col min="1" max="1" width="13" customWidth="1"/>
  </cols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53</v>
      </c>
      <c r="O1" s="1"/>
    </row>
    <row r="2" spans="1:15" x14ac:dyDescent="0.3">
      <c r="A2" t="s">
        <v>13</v>
      </c>
      <c r="B2" t="s">
        <v>14</v>
      </c>
      <c r="C2" t="s">
        <v>15</v>
      </c>
      <c r="D2" t="s">
        <v>16</v>
      </c>
      <c r="E2">
        <v>17.32</v>
      </c>
      <c r="F2" t="s">
        <v>17</v>
      </c>
      <c r="G2">
        <v>1</v>
      </c>
      <c r="H2" t="s">
        <v>18</v>
      </c>
      <c r="I2" t="s">
        <v>19</v>
      </c>
      <c r="J2" t="s">
        <v>20</v>
      </c>
      <c r="K2">
        <v>12.25</v>
      </c>
      <c r="L2" t="s">
        <v>21</v>
      </c>
      <c r="M2">
        <v>1</v>
      </c>
      <c r="N2">
        <f>IF(M2=1,0.965/(E2-1),-1)</f>
        <v>5.9129901960784312E-2</v>
      </c>
    </row>
    <row r="3" spans="1:15" x14ac:dyDescent="0.3">
      <c r="A3" t="s">
        <v>13</v>
      </c>
      <c r="B3" t="s">
        <v>22</v>
      </c>
      <c r="C3" t="s">
        <v>23</v>
      </c>
      <c r="D3" t="s">
        <v>24</v>
      </c>
      <c r="E3">
        <v>2.65</v>
      </c>
      <c r="F3" t="s">
        <v>25</v>
      </c>
      <c r="G3">
        <v>2</v>
      </c>
      <c r="H3" t="s">
        <v>18</v>
      </c>
      <c r="I3" t="s">
        <v>19</v>
      </c>
      <c r="J3" t="s">
        <v>20</v>
      </c>
      <c r="K3">
        <v>121.21</v>
      </c>
      <c r="L3" t="s">
        <v>21</v>
      </c>
      <c r="M3">
        <v>1</v>
      </c>
      <c r="N3">
        <f t="shared" ref="N3:N14" si="0">IF(M3=1,0.965/(E3-1),-1)</f>
        <v>0.58484848484848484</v>
      </c>
    </row>
    <row r="4" spans="1:15" x14ac:dyDescent="0.3">
      <c r="A4" t="s">
        <v>13</v>
      </c>
      <c r="B4" t="s">
        <v>26</v>
      </c>
      <c r="C4" t="s">
        <v>27</v>
      </c>
      <c r="D4" t="s">
        <v>28</v>
      </c>
      <c r="E4">
        <v>11.55</v>
      </c>
      <c r="F4" t="s">
        <v>29</v>
      </c>
      <c r="G4">
        <v>0</v>
      </c>
      <c r="H4" t="s">
        <v>18</v>
      </c>
      <c r="I4" t="s">
        <v>19</v>
      </c>
      <c r="J4" t="s">
        <v>20</v>
      </c>
      <c r="K4">
        <v>18.96</v>
      </c>
      <c r="L4" t="s">
        <v>21</v>
      </c>
      <c r="M4">
        <v>1</v>
      </c>
      <c r="N4">
        <f t="shared" si="0"/>
        <v>9.1469194312796195E-2</v>
      </c>
    </row>
    <row r="5" spans="1:15" x14ac:dyDescent="0.3">
      <c r="A5" t="s">
        <v>13</v>
      </c>
      <c r="B5" t="s">
        <v>26</v>
      </c>
      <c r="C5" t="s">
        <v>27</v>
      </c>
      <c r="D5" t="s">
        <v>30</v>
      </c>
      <c r="E5">
        <v>7.98</v>
      </c>
      <c r="F5" t="s">
        <v>17</v>
      </c>
      <c r="G5">
        <v>1</v>
      </c>
      <c r="H5" t="s">
        <v>18</v>
      </c>
      <c r="I5" t="s">
        <v>19</v>
      </c>
      <c r="J5" t="s">
        <v>20</v>
      </c>
      <c r="K5">
        <v>28.65</v>
      </c>
      <c r="L5" t="s">
        <v>21</v>
      </c>
      <c r="M5">
        <v>1</v>
      </c>
      <c r="N5">
        <f t="shared" si="0"/>
        <v>0.13825214899713464</v>
      </c>
    </row>
    <row r="6" spans="1:15" x14ac:dyDescent="0.3">
      <c r="A6" t="s">
        <v>13</v>
      </c>
      <c r="B6" t="s">
        <v>26</v>
      </c>
      <c r="C6" t="s">
        <v>23</v>
      </c>
      <c r="D6" t="s">
        <v>31</v>
      </c>
      <c r="E6">
        <v>2.92</v>
      </c>
      <c r="F6" t="s">
        <v>32</v>
      </c>
      <c r="G6">
        <v>1</v>
      </c>
      <c r="H6" t="s">
        <v>18</v>
      </c>
      <c r="I6" t="s">
        <v>19</v>
      </c>
      <c r="J6" t="s">
        <v>20</v>
      </c>
      <c r="K6">
        <v>104.17</v>
      </c>
      <c r="L6" t="s">
        <v>21</v>
      </c>
      <c r="M6">
        <v>1</v>
      </c>
      <c r="N6">
        <f t="shared" si="0"/>
        <v>0.50260416666666663</v>
      </c>
    </row>
    <row r="7" spans="1:15" x14ac:dyDescent="0.3">
      <c r="A7" t="s">
        <v>13</v>
      </c>
      <c r="B7" t="s">
        <v>33</v>
      </c>
      <c r="C7" t="s">
        <v>27</v>
      </c>
      <c r="D7" t="s">
        <v>34</v>
      </c>
      <c r="E7">
        <v>15.75</v>
      </c>
      <c r="F7" t="s">
        <v>25</v>
      </c>
      <c r="G7">
        <v>2</v>
      </c>
      <c r="H7" t="s">
        <v>18</v>
      </c>
      <c r="I7" t="s">
        <v>19</v>
      </c>
      <c r="J7" t="s">
        <v>20</v>
      </c>
      <c r="K7">
        <v>13.56</v>
      </c>
      <c r="L7" t="s">
        <v>21</v>
      </c>
      <c r="M7">
        <v>1</v>
      </c>
      <c r="N7">
        <f t="shared" si="0"/>
        <v>6.5423728813559318E-2</v>
      </c>
    </row>
    <row r="8" spans="1:15" x14ac:dyDescent="0.3">
      <c r="A8" t="s">
        <v>13</v>
      </c>
      <c r="B8" t="s">
        <v>35</v>
      </c>
      <c r="C8" t="s">
        <v>36</v>
      </c>
      <c r="D8" t="s">
        <v>37</v>
      </c>
      <c r="E8">
        <v>15.75</v>
      </c>
      <c r="F8" t="s">
        <v>38</v>
      </c>
      <c r="G8">
        <v>2</v>
      </c>
      <c r="H8" t="s">
        <v>18</v>
      </c>
      <c r="I8" t="s">
        <v>19</v>
      </c>
      <c r="J8" t="s">
        <v>20</v>
      </c>
      <c r="K8">
        <v>13.56</v>
      </c>
      <c r="L8" t="s">
        <v>21</v>
      </c>
      <c r="M8">
        <v>1</v>
      </c>
      <c r="N8">
        <f t="shared" si="0"/>
        <v>6.5423728813559318E-2</v>
      </c>
    </row>
    <row r="9" spans="1:15" x14ac:dyDescent="0.3">
      <c r="A9" t="s">
        <v>13</v>
      </c>
      <c r="B9" t="s">
        <v>39</v>
      </c>
      <c r="C9" t="s">
        <v>40</v>
      </c>
      <c r="D9" t="s">
        <v>41</v>
      </c>
      <c r="E9">
        <v>18.38</v>
      </c>
      <c r="F9" t="s">
        <v>17</v>
      </c>
      <c r="G9">
        <v>1</v>
      </c>
      <c r="H9" t="s">
        <v>18</v>
      </c>
      <c r="I9" t="s">
        <v>19</v>
      </c>
      <c r="J9" t="s">
        <v>20</v>
      </c>
      <c r="K9">
        <v>11.51</v>
      </c>
      <c r="L9" t="s">
        <v>21</v>
      </c>
      <c r="M9">
        <v>1</v>
      </c>
      <c r="N9">
        <f t="shared" si="0"/>
        <v>5.552359033371692E-2</v>
      </c>
    </row>
    <row r="10" spans="1:15" x14ac:dyDescent="0.3">
      <c r="A10" t="s">
        <v>42</v>
      </c>
      <c r="B10" t="s">
        <v>43</v>
      </c>
      <c r="C10" t="s">
        <v>27</v>
      </c>
      <c r="D10" t="s">
        <v>44</v>
      </c>
      <c r="E10">
        <v>18.38</v>
      </c>
      <c r="F10" t="s">
        <v>45</v>
      </c>
      <c r="G10">
        <v>4</v>
      </c>
      <c r="H10" t="s">
        <v>18</v>
      </c>
      <c r="I10" t="s">
        <v>19</v>
      </c>
      <c r="J10" t="s">
        <v>20</v>
      </c>
      <c r="K10">
        <v>11.51</v>
      </c>
      <c r="L10" t="s">
        <v>21</v>
      </c>
      <c r="M10">
        <v>1</v>
      </c>
      <c r="N10">
        <f t="shared" si="0"/>
        <v>5.552359033371692E-2</v>
      </c>
    </row>
    <row r="11" spans="1:15" x14ac:dyDescent="0.3">
      <c r="A11" t="s">
        <v>42</v>
      </c>
      <c r="B11" t="s">
        <v>46</v>
      </c>
      <c r="C11" t="s">
        <v>27</v>
      </c>
      <c r="D11" t="s">
        <v>47</v>
      </c>
      <c r="E11">
        <v>18.38</v>
      </c>
      <c r="F11" t="s">
        <v>32</v>
      </c>
      <c r="G11">
        <v>1</v>
      </c>
      <c r="H11" t="s">
        <v>18</v>
      </c>
      <c r="I11" t="s">
        <v>19</v>
      </c>
      <c r="J11" t="s">
        <v>20</v>
      </c>
      <c r="K11">
        <v>11.51</v>
      </c>
      <c r="L11" t="s">
        <v>21</v>
      </c>
      <c r="M11">
        <v>1</v>
      </c>
      <c r="N11">
        <f t="shared" si="0"/>
        <v>5.552359033371692E-2</v>
      </c>
    </row>
    <row r="12" spans="1:15" x14ac:dyDescent="0.3">
      <c r="A12" t="s">
        <v>42</v>
      </c>
      <c r="B12" t="s">
        <v>46</v>
      </c>
      <c r="C12" t="s">
        <v>27</v>
      </c>
      <c r="D12" t="s">
        <v>48</v>
      </c>
      <c r="E12">
        <v>18.899999999999999</v>
      </c>
      <c r="F12" t="s">
        <v>49</v>
      </c>
      <c r="G12">
        <v>3</v>
      </c>
      <c r="H12" t="s">
        <v>18</v>
      </c>
      <c r="I12" t="s">
        <v>19</v>
      </c>
      <c r="J12" t="s">
        <v>20</v>
      </c>
      <c r="K12">
        <v>11.17</v>
      </c>
      <c r="L12" t="s">
        <v>21</v>
      </c>
      <c r="M12">
        <v>1</v>
      </c>
      <c r="N12">
        <f t="shared" si="0"/>
        <v>5.391061452513967E-2</v>
      </c>
    </row>
    <row r="13" spans="1:15" x14ac:dyDescent="0.3">
      <c r="A13" t="s">
        <v>42</v>
      </c>
      <c r="B13" t="s">
        <v>35</v>
      </c>
      <c r="C13" t="s">
        <v>27</v>
      </c>
      <c r="D13" t="s">
        <v>50</v>
      </c>
      <c r="E13">
        <v>18.38</v>
      </c>
      <c r="F13" t="s">
        <v>17</v>
      </c>
      <c r="G13">
        <v>1</v>
      </c>
      <c r="H13" t="s">
        <v>18</v>
      </c>
      <c r="I13" t="s">
        <v>19</v>
      </c>
      <c r="J13" t="s">
        <v>20</v>
      </c>
      <c r="K13">
        <v>11.51</v>
      </c>
      <c r="L13" t="s">
        <v>21</v>
      </c>
      <c r="M13">
        <v>1</v>
      </c>
      <c r="N13">
        <f t="shared" si="0"/>
        <v>5.552359033371692E-2</v>
      </c>
    </row>
    <row r="14" spans="1:15" x14ac:dyDescent="0.3">
      <c r="A14" t="s">
        <v>42</v>
      </c>
      <c r="B14" t="s">
        <v>51</v>
      </c>
      <c r="C14" t="s">
        <v>27</v>
      </c>
      <c r="D14" t="s">
        <v>52</v>
      </c>
      <c r="E14">
        <v>15.75</v>
      </c>
      <c r="F14" t="s">
        <v>29</v>
      </c>
      <c r="G14">
        <v>0</v>
      </c>
      <c r="H14" t="s">
        <v>18</v>
      </c>
      <c r="I14" t="s">
        <v>19</v>
      </c>
      <c r="J14" t="s">
        <v>20</v>
      </c>
      <c r="K14">
        <v>13.56</v>
      </c>
      <c r="L14" t="s">
        <v>21</v>
      </c>
      <c r="M14">
        <v>1</v>
      </c>
      <c r="N14">
        <f t="shared" si="0"/>
        <v>6.5423728813559318E-2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2026-08-31T14:28:56Z</dcterms:created>
  <dcterms:modified xsi:type="dcterms:W3CDTF">2026-08-31T14:53:08Z</dcterms:modified>
</cp:coreProperties>
</file>