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1" documentId="11_7E75F0DC5E75080E62355476585DCE3A8747DC60" xr6:coauthVersionLast="47" xr6:coauthVersionMax="47" xr10:uidLastSave="{36E089AC-079D-49DD-A122-7400182D647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2" i="1"/>
</calcChain>
</file>

<file path=xl/sharedStrings.xml><?xml version="1.0" encoding="utf-8"?>
<sst xmlns="http://schemas.openxmlformats.org/spreadsheetml/2006/main" count="235" uniqueCount="109">
  <si>
    <t>Data</t>
  </si>
  <si>
    <t>Hora</t>
  </si>
  <si>
    <t>Liga</t>
  </si>
  <si>
    <t>Jogo</t>
  </si>
  <si>
    <t>Odd_Lay</t>
  </si>
  <si>
    <t>Status_Odd</t>
  </si>
  <si>
    <t>Stake_Sugerida_R$</t>
  </si>
  <si>
    <t>Placar</t>
  </si>
  <si>
    <t>Resultado</t>
  </si>
  <si>
    <t>2026-08-29</t>
  </si>
  <si>
    <t>05:00</t>
  </si>
  <si>
    <t>ROMANIA 2</t>
  </si>
  <si>
    <t>Bihor Oradea x CSL Stefanestii de Jos</t>
  </si>
  <si>
    <t>VALIDA</t>
  </si>
  <si>
    <t>2x0</t>
  </si>
  <si>
    <t>GREEN</t>
  </si>
  <si>
    <t>08:35</t>
  </si>
  <si>
    <t>CHINA 1</t>
  </si>
  <si>
    <t>Chengdu Rongcheng x Liaoning Tieren FC</t>
  </si>
  <si>
    <t>2x1</t>
  </si>
  <si>
    <t>11:00</t>
  </si>
  <si>
    <t>ICELAND 2</t>
  </si>
  <si>
    <t>Afturelding x IF Vestri</t>
  </si>
  <si>
    <t>3x1</t>
  </si>
  <si>
    <t>SCOTLAND 2</t>
  </si>
  <si>
    <t>Partick x Queens Park</t>
  </si>
  <si>
    <t>0x0</t>
  </si>
  <si>
    <t>SCOTLAND 1</t>
  </si>
  <si>
    <t>Celtic x Falkirk</t>
  </si>
  <si>
    <t>3x0</t>
  </si>
  <si>
    <t>13:00</t>
  </si>
  <si>
    <t>ITALY 3</t>
  </si>
  <si>
    <t>Sorrento x Crotone</t>
  </si>
  <si>
    <t>1x1</t>
  </si>
  <si>
    <t>13:30</t>
  </si>
  <si>
    <t>GERMANY 1</t>
  </si>
  <si>
    <t>Dortmund x Hamburger SV</t>
  </si>
  <si>
    <t>13:45</t>
  </si>
  <si>
    <t>NETHERLANDS 1</t>
  </si>
  <si>
    <t>AZ Alkmaar x Go Ahead Eagles</t>
  </si>
  <si>
    <t>14:30</t>
  </si>
  <si>
    <t>ISRAEL 1</t>
  </si>
  <si>
    <t>Beitar Jerusalem x Maccabi Netanya</t>
  </si>
  <si>
    <t>15:30</t>
  </si>
  <si>
    <t>TURKEY 1</t>
  </si>
  <si>
    <t>Galatasaray x Goztepe</t>
  </si>
  <si>
    <t>3x2</t>
  </si>
  <si>
    <t>16:00</t>
  </si>
  <si>
    <t>CROATIA 1</t>
  </si>
  <si>
    <t>Varazdin x Rudes</t>
  </si>
  <si>
    <t>Cosenza x Potenza</t>
  </si>
  <si>
    <t>1x0</t>
  </si>
  <si>
    <t>Inter Milan (Res) x Team Altamura</t>
  </si>
  <si>
    <t>17:00</t>
  </si>
  <si>
    <t>BRAZIL 3</t>
  </si>
  <si>
    <t>Guarani x Brusque FC</t>
  </si>
  <si>
    <t>19:30</t>
  </si>
  <si>
    <t>COLOMBIA 2</t>
  </si>
  <si>
    <t>Real Cartagena x Tigres FC Zipaquira</t>
  </si>
  <si>
    <t>20:30</t>
  </si>
  <si>
    <t>USA 1</t>
  </si>
  <si>
    <t>Inter Miami CF x CF Montreal</t>
  </si>
  <si>
    <t>21:30</t>
  </si>
  <si>
    <t>PERU 1</t>
  </si>
  <si>
    <t>Alianza Lima x Deportivo Garcilaso</t>
  </si>
  <si>
    <t>2026-08-30</t>
  </si>
  <si>
    <t>08:30</t>
  </si>
  <si>
    <t>Guangdong GZ-Power FC x Changchun Yatai</t>
  </si>
  <si>
    <t>09:30</t>
  </si>
  <si>
    <t>NORWAY 1</t>
  </si>
  <si>
    <t>Bodo Glimt x Rosenborg</t>
  </si>
  <si>
    <t>4x1</t>
  </si>
  <si>
    <t>UKRAINE 1</t>
  </si>
  <si>
    <t>LNZ-Lebedyn x Veres Rivne</t>
  </si>
  <si>
    <t>12:00</t>
  </si>
  <si>
    <t>CZECH 1</t>
  </si>
  <si>
    <t>Plzen x Slovacko</t>
  </si>
  <si>
    <t>Viking x Aalesunds</t>
  </si>
  <si>
    <t>0x1</t>
  </si>
  <si>
    <t>RED</t>
  </si>
  <si>
    <t>SLOVAKIA 1</t>
  </si>
  <si>
    <t>Slovan Bratislava x Zemplin</t>
  </si>
  <si>
    <t>12:15</t>
  </si>
  <si>
    <t>FRANCE 1</t>
  </si>
  <si>
    <t>Rennes x Le Mans</t>
  </si>
  <si>
    <t>12:30</t>
  </si>
  <si>
    <t>ENGLAND 1</t>
  </si>
  <si>
    <t>Man Utd x Ipswich</t>
  </si>
  <si>
    <t>5x2</t>
  </si>
  <si>
    <t>14:00</t>
  </si>
  <si>
    <t>AUSTRIA 1</t>
  </si>
  <si>
    <t>Red Bull Salzburg x Austria Wien</t>
  </si>
  <si>
    <t>ICELAND 1</t>
  </si>
  <si>
    <t>Fram x KA Akureyri</t>
  </si>
  <si>
    <t>SPAIN 2</t>
  </si>
  <si>
    <t>Mallorca x AD Ceuta FC</t>
  </si>
  <si>
    <t>BRAZIL 1</t>
  </si>
  <si>
    <t>Flamengo x Botafogo FR</t>
  </si>
  <si>
    <t>ARGENTINA 1</t>
  </si>
  <si>
    <t>Argentinos Juniors x Aldosivi</t>
  </si>
  <si>
    <t>20:00</t>
  </si>
  <si>
    <t>VENEZUELA 1</t>
  </si>
  <si>
    <t>Carabobo FC x Zamora FC</t>
  </si>
  <si>
    <t>21:00</t>
  </si>
  <si>
    <t>MEXICO 1</t>
  </si>
  <si>
    <t>Toluca x FC Juarez</t>
  </si>
  <si>
    <t>1x2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</si>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</sst>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workbookViewId="0">
      <selection activeCell="M6" sqref="M6"/>
    </sheetView>
  </sheetViews>
  <sheetFormatPr defaultRowHeight="14.4" x14ac:dyDescent="0.3"/>
  <cols>
    <col min="1" max="1" width="1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107</v>
      </c>
      <c r="K1" s="2" t="s">
        <v>108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>
        <v>14.42</v>
      </c>
      <c r="F2" t="s">
        <v>13</v>
      </c>
      <c r="G2">
        <v>14.9</v>
      </c>
      <c r="H2" t="s">
        <v>14</v>
      </c>
      <c r="I2" t="s">
        <v>15</v>
      </c>
      <c r="J2">
        <v>1</v>
      </c>
      <c r="K2">
        <f>IF(J2=1,0.965/(E2-1),-1)</f>
        <v>7.1907600596125179E-2</v>
      </c>
    </row>
    <row r="3" spans="1:11" x14ac:dyDescent="0.3">
      <c r="A3" t="s">
        <v>9</v>
      </c>
      <c r="B3" t="s">
        <v>16</v>
      </c>
      <c r="C3" t="s">
        <v>17</v>
      </c>
      <c r="D3" t="s">
        <v>18</v>
      </c>
      <c r="E3">
        <v>8.24</v>
      </c>
      <c r="F3" t="s">
        <v>13</v>
      </c>
      <c r="G3">
        <v>27.62</v>
      </c>
      <c r="H3" t="s">
        <v>19</v>
      </c>
      <c r="I3" t="s">
        <v>15</v>
      </c>
      <c r="J3">
        <v>1</v>
      </c>
      <c r="K3">
        <f t="shared" ref="K3:K33" si="0">IF(J3=1,0.965/(E3-1),-1)</f>
        <v>0.13328729281767954</v>
      </c>
    </row>
    <row r="4" spans="1:11" x14ac:dyDescent="0.3">
      <c r="A4" t="s">
        <v>9</v>
      </c>
      <c r="B4" t="s">
        <v>20</v>
      </c>
      <c r="C4" t="s">
        <v>21</v>
      </c>
      <c r="D4" t="s">
        <v>22</v>
      </c>
      <c r="E4">
        <v>14.94</v>
      </c>
      <c r="F4" t="s">
        <v>13</v>
      </c>
      <c r="G4">
        <v>14.35</v>
      </c>
      <c r="H4" t="s">
        <v>23</v>
      </c>
      <c r="I4" t="s">
        <v>15</v>
      </c>
      <c r="J4">
        <v>1</v>
      </c>
      <c r="K4">
        <f t="shared" si="0"/>
        <v>6.9225251076040176E-2</v>
      </c>
    </row>
    <row r="5" spans="1:11" x14ac:dyDescent="0.3">
      <c r="A5" t="s">
        <v>9</v>
      </c>
      <c r="B5" t="s">
        <v>20</v>
      </c>
      <c r="C5" t="s">
        <v>24</v>
      </c>
      <c r="D5" t="s">
        <v>25</v>
      </c>
      <c r="E5">
        <v>11.33</v>
      </c>
      <c r="F5" t="s">
        <v>13</v>
      </c>
      <c r="G5">
        <v>19.36</v>
      </c>
      <c r="H5" t="s">
        <v>26</v>
      </c>
      <c r="I5" t="s">
        <v>15</v>
      </c>
      <c r="J5">
        <v>1</v>
      </c>
      <c r="K5">
        <f t="shared" si="0"/>
        <v>9.341723136495643E-2</v>
      </c>
    </row>
    <row r="6" spans="1:11" x14ac:dyDescent="0.3">
      <c r="A6" t="s">
        <v>9</v>
      </c>
      <c r="B6" t="s">
        <v>20</v>
      </c>
      <c r="C6" t="s">
        <v>27</v>
      </c>
      <c r="D6" t="s">
        <v>28</v>
      </c>
      <c r="E6">
        <v>13.91</v>
      </c>
      <c r="F6" t="s">
        <v>13</v>
      </c>
      <c r="G6">
        <v>15.49</v>
      </c>
      <c r="H6" t="s">
        <v>29</v>
      </c>
      <c r="I6" t="s">
        <v>15</v>
      </c>
      <c r="J6">
        <v>1</v>
      </c>
      <c r="K6">
        <f t="shared" si="0"/>
        <v>7.4748257164988383E-2</v>
      </c>
    </row>
    <row r="7" spans="1:11" x14ac:dyDescent="0.3">
      <c r="A7" t="s">
        <v>9</v>
      </c>
      <c r="B7" t="s">
        <v>30</v>
      </c>
      <c r="C7" t="s">
        <v>31</v>
      </c>
      <c r="D7" t="s">
        <v>32</v>
      </c>
      <c r="E7">
        <v>10</v>
      </c>
      <c r="F7" t="s">
        <v>13</v>
      </c>
      <c r="G7">
        <v>0</v>
      </c>
      <c r="H7" t="s">
        <v>33</v>
      </c>
      <c r="I7" t="s">
        <v>15</v>
      </c>
      <c r="J7">
        <v>1</v>
      </c>
      <c r="K7">
        <f t="shared" si="0"/>
        <v>0.10722222222222222</v>
      </c>
    </row>
    <row r="8" spans="1:11" x14ac:dyDescent="0.3">
      <c r="A8" t="s">
        <v>9</v>
      </c>
      <c r="B8" t="s">
        <v>34</v>
      </c>
      <c r="C8" t="s">
        <v>35</v>
      </c>
      <c r="D8" t="s">
        <v>36</v>
      </c>
      <c r="E8">
        <v>8.86</v>
      </c>
      <c r="F8" t="s">
        <v>13</v>
      </c>
      <c r="G8">
        <v>25.45</v>
      </c>
      <c r="H8" t="s">
        <v>14</v>
      </c>
      <c r="I8" t="s">
        <v>15</v>
      </c>
      <c r="J8">
        <v>1</v>
      </c>
      <c r="K8">
        <f t="shared" si="0"/>
        <v>0.1227735368956743</v>
      </c>
    </row>
    <row r="9" spans="1:11" x14ac:dyDescent="0.3">
      <c r="A9" t="s">
        <v>9</v>
      </c>
      <c r="B9" t="s">
        <v>37</v>
      </c>
      <c r="C9" t="s">
        <v>38</v>
      </c>
      <c r="D9" t="s">
        <v>39</v>
      </c>
      <c r="E9">
        <v>8.65</v>
      </c>
      <c r="F9" t="s">
        <v>13</v>
      </c>
      <c r="G9">
        <v>26.14</v>
      </c>
      <c r="H9" t="s">
        <v>19</v>
      </c>
      <c r="I9" t="s">
        <v>15</v>
      </c>
      <c r="J9">
        <v>1</v>
      </c>
      <c r="K9">
        <f t="shared" si="0"/>
        <v>0.1261437908496732</v>
      </c>
    </row>
    <row r="10" spans="1:11" x14ac:dyDescent="0.3">
      <c r="A10" t="s">
        <v>9</v>
      </c>
      <c r="B10" t="s">
        <v>40</v>
      </c>
      <c r="C10" t="s">
        <v>41</v>
      </c>
      <c r="D10" t="s">
        <v>42</v>
      </c>
      <c r="E10">
        <v>6.59</v>
      </c>
      <c r="F10" t="s">
        <v>13</v>
      </c>
      <c r="G10">
        <v>35.78</v>
      </c>
      <c r="H10" t="s">
        <v>33</v>
      </c>
      <c r="I10" t="s">
        <v>15</v>
      </c>
      <c r="J10">
        <v>1</v>
      </c>
      <c r="K10">
        <f t="shared" si="0"/>
        <v>0.17262969588550983</v>
      </c>
    </row>
    <row r="11" spans="1:11" x14ac:dyDescent="0.3">
      <c r="A11" t="s">
        <v>9</v>
      </c>
      <c r="B11" t="s">
        <v>43</v>
      </c>
      <c r="C11" t="s">
        <v>44</v>
      </c>
      <c r="D11" t="s">
        <v>45</v>
      </c>
      <c r="E11">
        <v>11.85</v>
      </c>
      <c r="F11" t="s">
        <v>13</v>
      </c>
      <c r="G11">
        <v>18.43</v>
      </c>
      <c r="H11" t="s">
        <v>46</v>
      </c>
      <c r="I11" t="s">
        <v>15</v>
      </c>
      <c r="J11">
        <v>1</v>
      </c>
      <c r="K11">
        <f t="shared" si="0"/>
        <v>8.8940092165898613E-2</v>
      </c>
    </row>
    <row r="12" spans="1:11" x14ac:dyDescent="0.3">
      <c r="A12" t="s">
        <v>9</v>
      </c>
      <c r="B12" t="s">
        <v>47</v>
      </c>
      <c r="C12" t="s">
        <v>48</v>
      </c>
      <c r="D12" t="s">
        <v>49</v>
      </c>
      <c r="E12">
        <v>12.36</v>
      </c>
      <c r="F12" t="s">
        <v>13</v>
      </c>
      <c r="G12">
        <v>17.61</v>
      </c>
      <c r="H12" t="s">
        <v>14</v>
      </c>
      <c r="I12" t="s">
        <v>15</v>
      </c>
      <c r="J12">
        <v>1</v>
      </c>
      <c r="K12">
        <f t="shared" si="0"/>
        <v>8.4947183098591547E-2</v>
      </c>
    </row>
    <row r="13" spans="1:11" x14ac:dyDescent="0.3">
      <c r="A13" t="s">
        <v>9</v>
      </c>
      <c r="B13" t="s">
        <v>47</v>
      </c>
      <c r="C13" t="s">
        <v>31</v>
      </c>
      <c r="D13" t="s">
        <v>50</v>
      </c>
      <c r="E13">
        <v>10</v>
      </c>
      <c r="F13" t="s">
        <v>13</v>
      </c>
      <c r="G13">
        <v>0</v>
      </c>
      <c r="H13" t="s">
        <v>106</v>
      </c>
      <c r="I13" t="s">
        <v>79</v>
      </c>
      <c r="J13">
        <v>0</v>
      </c>
      <c r="K13">
        <f t="shared" si="0"/>
        <v>-1</v>
      </c>
    </row>
    <row r="14" spans="1:11" x14ac:dyDescent="0.3">
      <c r="A14" t="s">
        <v>9</v>
      </c>
      <c r="B14" t="s">
        <v>47</v>
      </c>
      <c r="C14" t="s">
        <v>31</v>
      </c>
      <c r="D14" t="s">
        <v>52</v>
      </c>
      <c r="E14">
        <v>10</v>
      </c>
      <c r="F14" t="s">
        <v>13</v>
      </c>
      <c r="G14">
        <v>0</v>
      </c>
      <c r="H14" t="s">
        <v>19</v>
      </c>
      <c r="I14" t="s">
        <v>15</v>
      </c>
      <c r="J14">
        <v>1</v>
      </c>
      <c r="K14">
        <f t="shared" si="0"/>
        <v>0.10722222222222222</v>
      </c>
    </row>
    <row r="15" spans="1:11" x14ac:dyDescent="0.3">
      <c r="A15" t="s">
        <v>9</v>
      </c>
      <c r="B15" t="s">
        <v>53</v>
      </c>
      <c r="C15" t="s">
        <v>54</v>
      </c>
      <c r="D15" t="s">
        <v>55</v>
      </c>
      <c r="E15">
        <v>9.68</v>
      </c>
      <c r="F15" t="s">
        <v>13</v>
      </c>
      <c r="G15">
        <v>23.04</v>
      </c>
      <c r="H15" t="s">
        <v>51</v>
      </c>
      <c r="I15" t="s">
        <v>15</v>
      </c>
      <c r="J15">
        <v>1</v>
      </c>
      <c r="K15">
        <f t="shared" si="0"/>
        <v>0.11117511520737328</v>
      </c>
    </row>
    <row r="16" spans="1:11" x14ac:dyDescent="0.3">
      <c r="A16" t="s">
        <v>9</v>
      </c>
      <c r="B16" t="s">
        <v>56</v>
      </c>
      <c r="C16" t="s">
        <v>57</v>
      </c>
      <c r="D16" t="s">
        <v>58</v>
      </c>
      <c r="E16">
        <v>14.94</v>
      </c>
      <c r="F16" t="s">
        <v>13</v>
      </c>
      <c r="G16">
        <v>14.35</v>
      </c>
      <c r="H16" t="s">
        <v>14</v>
      </c>
      <c r="I16" t="s">
        <v>15</v>
      </c>
      <c r="J16">
        <v>1</v>
      </c>
      <c r="K16">
        <f t="shared" si="0"/>
        <v>6.9225251076040176E-2</v>
      </c>
    </row>
    <row r="17" spans="1:11" x14ac:dyDescent="0.3">
      <c r="A17" t="s">
        <v>9</v>
      </c>
      <c r="B17" t="s">
        <v>59</v>
      </c>
      <c r="C17" t="s">
        <v>60</v>
      </c>
      <c r="D17" t="s">
        <v>61</v>
      </c>
      <c r="E17">
        <v>6.59</v>
      </c>
      <c r="F17" t="s">
        <v>13</v>
      </c>
      <c r="G17">
        <v>35.78</v>
      </c>
      <c r="H17" t="s">
        <v>23</v>
      </c>
      <c r="I17" t="s">
        <v>15</v>
      </c>
      <c r="J17">
        <v>1</v>
      </c>
      <c r="K17">
        <f t="shared" si="0"/>
        <v>0.17262969588550983</v>
      </c>
    </row>
    <row r="18" spans="1:11" x14ac:dyDescent="0.3">
      <c r="A18" t="s">
        <v>9</v>
      </c>
      <c r="B18" t="s">
        <v>62</v>
      </c>
      <c r="C18" t="s">
        <v>63</v>
      </c>
      <c r="D18" t="s">
        <v>64</v>
      </c>
      <c r="E18">
        <v>13.91</v>
      </c>
      <c r="F18" t="s">
        <v>13</v>
      </c>
      <c r="G18">
        <v>15.49</v>
      </c>
      <c r="H18" t="s">
        <v>14</v>
      </c>
      <c r="I18" t="s">
        <v>15</v>
      </c>
      <c r="J18">
        <v>1</v>
      </c>
      <c r="K18">
        <f t="shared" si="0"/>
        <v>7.4748257164988383E-2</v>
      </c>
    </row>
    <row r="19" spans="1:11" x14ac:dyDescent="0.3">
      <c r="A19" t="s">
        <v>65</v>
      </c>
      <c r="B19" t="s">
        <v>66</v>
      </c>
      <c r="C19" t="s">
        <v>17</v>
      </c>
      <c r="D19" t="s">
        <v>67</v>
      </c>
      <c r="E19">
        <v>8.4499999999999993</v>
      </c>
      <c r="F19" t="s">
        <v>13</v>
      </c>
      <c r="G19">
        <v>26.85</v>
      </c>
      <c r="H19" t="s">
        <v>19</v>
      </c>
      <c r="I19" t="s">
        <v>15</v>
      </c>
      <c r="J19">
        <v>1</v>
      </c>
      <c r="K19">
        <f t="shared" si="0"/>
        <v>0.12953020134228188</v>
      </c>
    </row>
    <row r="20" spans="1:11" x14ac:dyDescent="0.3">
      <c r="A20" t="s">
        <v>65</v>
      </c>
      <c r="B20" t="s">
        <v>68</v>
      </c>
      <c r="C20" t="s">
        <v>69</v>
      </c>
      <c r="D20" t="s">
        <v>70</v>
      </c>
      <c r="E20">
        <v>9.06</v>
      </c>
      <c r="F20" t="s">
        <v>13</v>
      </c>
      <c r="G20">
        <v>24.81</v>
      </c>
      <c r="H20" t="s">
        <v>71</v>
      </c>
      <c r="I20" t="s">
        <v>15</v>
      </c>
      <c r="J20">
        <v>1</v>
      </c>
      <c r="K20">
        <f t="shared" si="0"/>
        <v>0.11972704714640198</v>
      </c>
    </row>
    <row r="21" spans="1:11" x14ac:dyDescent="0.3">
      <c r="A21" t="s">
        <v>65</v>
      </c>
      <c r="B21" t="s">
        <v>68</v>
      </c>
      <c r="C21" t="s">
        <v>72</v>
      </c>
      <c r="D21" t="s">
        <v>73</v>
      </c>
      <c r="E21">
        <v>11.33</v>
      </c>
      <c r="F21" t="s">
        <v>13</v>
      </c>
      <c r="G21">
        <v>19.36</v>
      </c>
      <c r="H21" t="s">
        <v>51</v>
      </c>
      <c r="I21" t="s">
        <v>15</v>
      </c>
      <c r="J21">
        <v>1</v>
      </c>
      <c r="K21">
        <f t="shared" si="0"/>
        <v>9.341723136495643E-2</v>
      </c>
    </row>
    <row r="22" spans="1:11" x14ac:dyDescent="0.3">
      <c r="A22" t="s">
        <v>65</v>
      </c>
      <c r="B22" t="s">
        <v>74</v>
      </c>
      <c r="C22" t="s">
        <v>75</v>
      </c>
      <c r="D22" t="s">
        <v>76</v>
      </c>
      <c r="E22">
        <v>11.33</v>
      </c>
      <c r="F22" t="s">
        <v>13</v>
      </c>
      <c r="G22">
        <v>19.36</v>
      </c>
      <c r="H22" t="s">
        <v>14</v>
      </c>
      <c r="I22" t="s">
        <v>15</v>
      </c>
      <c r="J22">
        <v>1</v>
      </c>
      <c r="K22">
        <f t="shared" si="0"/>
        <v>9.341723136495643E-2</v>
      </c>
    </row>
    <row r="23" spans="1:11" x14ac:dyDescent="0.3">
      <c r="A23" t="s">
        <v>65</v>
      </c>
      <c r="B23" t="s">
        <v>74</v>
      </c>
      <c r="C23" t="s">
        <v>69</v>
      </c>
      <c r="D23" t="s">
        <v>77</v>
      </c>
      <c r="E23">
        <v>10.09</v>
      </c>
      <c r="F23" t="s">
        <v>13</v>
      </c>
      <c r="G23">
        <v>22</v>
      </c>
      <c r="H23" t="s">
        <v>78</v>
      </c>
      <c r="I23" t="s">
        <v>79</v>
      </c>
      <c r="J23">
        <v>0</v>
      </c>
      <c r="K23">
        <f t="shared" si="0"/>
        <v>-1</v>
      </c>
    </row>
    <row r="24" spans="1:11" x14ac:dyDescent="0.3">
      <c r="A24" t="s">
        <v>65</v>
      </c>
      <c r="B24" t="s">
        <v>74</v>
      </c>
      <c r="C24" t="s">
        <v>80</v>
      </c>
      <c r="D24" t="s">
        <v>81</v>
      </c>
      <c r="E24">
        <v>10.81</v>
      </c>
      <c r="F24" t="s">
        <v>13</v>
      </c>
      <c r="G24">
        <v>20.39</v>
      </c>
      <c r="H24" t="s">
        <v>29</v>
      </c>
      <c r="I24" t="s">
        <v>15</v>
      </c>
      <c r="J24">
        <v>1</v>
      </c>
      <c r="K24">
        <f t="shared" si="0"/>
        <v>9.8369011213047905E-2</v>
      </c>
    </row>
    <row r="25" spans="1:11" x14ac:dyDescent="0.3">
      <c r="A25" t="s">
        <v>65</v>
      </c>
      <c r="B25" t="s">
        <v>82</v>
      </c>
      <c r="C25" t="s">
        <v>83</v>
      </c>
      <c r="D25" t="s">
        <v>84</v>
      </c>
      <c r="E25">
        <v>9.06</v>
      </c>
      <c r="F25" t="s">
        <v>13</v>
      </c>
      <c r="G25">
        <v>24.81</v>
      </c>
      <c r="H25" t="s">
        <v>14</v>
      </c>
      <c r="I25" t="s">
        <v>15</v>
      </c>
      <c r="J25">
        <v>1</v>
      </c>
      <c r="K25">
        <f t="shared" si="0"/>
        <v>0.11972704714640198</v>
      </c>
    </row>
    <row r="26" spans="1:11" x14ac:dyDescent="0.3">
      <c r="A26" t="s">
        <v>65</v>
      </c>
      <c r="B26" t="s">
        <v>85</v>
      </c>
      <c r="C26" t="s">
        <v>86</v>
      </c>
      <c r="D26" t="s">
        <v>87</v>
      </c>
      <c r="E26">
        <v>9.27</v>
      </c>
      <c r="F26" t="s">
        <v>13</v>
      </c>
      <c r="G26">
        <v>24.18</v>
      </c>
      <c r="H26" t="s">
        <v>88</v>
      </c>
      <c r="I26" t="s">
        <v>15</v>
      </c>
      <c r="J26">
        <v>1</v>
      </c>
      <c r="K26">
        <f t="shared" si="0"/>
        <v>0.11668681983071343</v>
      </c>
    </row>
    <row r="27" spans="1:11" x14ac:dyDescent="0.3">
      <c r="A27" t="s">
        <v>65</v>
      </c>
      <c r="B27" t="s">
        <v>89</v>
      </c>
      <c r="C27" t="s">
        <v>90</v>
      </c>
      <c r="D27" t="s">
        <v>91</v>
      </c>
      <c r="E27">
        <v>8.86</v>
      </c>
      <c r="F27" t="s">
        <v>13</v>
      </c>
      <c r="G27">
        <v>25.45</v>
      </c>
      <c r="H27" t="s">
        <v>71</v>
      </c>
      <c r="I27" t="s">
        <v>15</v>
      </c>
      <c r="J27">
        <v>1</v>
      </c>
      <c r="K27">
        <f t="shared" si="0"/>
        <v>0.1227735368956743</v>
      </c>
    </row>
    <row r="28" spans="1:11" x14ac:dyDescent="0.3">
      <c r="A28" t="s">
        <v>65</v>
      </c>
      <c r="B28" t="s">
        <v>89</v>
      </c>
      <c r="C28" t="s">
        <v>92</v>
      </c>
      <c r="D28" t="s">
        <v>93</v>
      </c>
      <c r="E28">
        <v>7.21</v>
      </c>
      <c r="F28" t="s">
        <v>13</v>
      </c>
      <c r="G28">
        <v>32.21</v>
      </c>
      <c r="H28" t="s">
        <v>19</v>
      </c>
      <c r="I28" t="s">
        <v>15</v>
      </c>
      <c r="J28">
        <v>1</v>
      </c>
      <c r="K28">
        <f t="shared" si="0"/>
        <v>0.15539452495974235</v>
      </c>
    </row>
    <row r="29" spans="1:11" x14ac:dyDescent="0.3">
      <c r="A29" t="s">
        <v>65</v>
      </c>
      <c r="B29" t="s">
        <v>89</v>
      </c>
      <c r="C29" t="s">
        <v>94</v>
      </c>
      <c r="D29" t="s">
        <v>95</v>
      </c>
      <c r="E29">
        <v>9.06</v>
      </c>
      <c r="F29" t="s">
        <v>13</v>
      </c>
      <c r="G29">
        <v>24.81</v>
      </c>
      <c r="H29" t="s">
        <v>51</v>
      </c>
      <c r="I29" t="s">
        <v>15</v>
      </c>
      <c r="J29">
        <v>1</v>
      </c>
      <c r="K29">
        <f t="shared" si="0"/>
        <v>0.11972704714640198</v>
      </c>
    </row>
    <row r="30" spans="1:11" x14ac:dyDescent="0.3">
      <c r="A30" t="s">
        <v>65</v>
      </c>
      <c r="B30" t="s">
        <v>47</v>
      </c>
      <c r="C30" t="s">
        <v>96</v>
      </c>
      <c r="D30" t="s">
        <v>97</v>
      </c>
      <c r="E30">
        <v>10.3</v>
      </c>
      <c r="F30" t="s">
        <v>13</v>
      </c>
      <c r="G30">
        <v>21.51</v>
      </c>
      <c r="H30" t="s">
        <v>29</v>
      </c>
      <c r="I30" t="s">
        <v>15</v>
      </c>
      <c r="J30">
        <v>1</v>
      </c>
      <c r="K30">
        <f t="shared" si="0"/>
        <v>0.10376344086021504</v>
      </c>
    </row>
    <row r="31" spans="1:11" x14ac:dyDescent="0.3">
      <c r="A31" t="s">
        <v>65</v>
      </c>
      <c r="B31" t="s">
        <v>53</v>
      </c>
      <c r="C31" t="s">
        <v>98</v>
      </c>
      <c r="D31" t="s">
        <v>99</v>
      </c>
      <c r="E31">
        <v>10.81</v>
      </c>
      <c r="F31" t="s">
        <v>13</v>
      </c>
      <c r="G31">
        <v>20.39</v>
      </c>
      <c r="H31" t="s">
        <v>14</v>
      </c>
      <c r="I31" t="s">
        <v>15</v>
      </c>
      <c r="J31">
        <v>1</v>
      </c>
      <c r="K31">
        <f t="shared" si="0"/>
        <v>9.8369011213047905E-2</v>
      </c>
    </row>
    <row r="32" spans="1:11" x14ac:dyDescent="0.3">
      <c r="A32" t="s">
        <v>65</v>
      </c>
      <c r="B32" t="s">
        <v>100</v>
      </c>
      <c r="C32" t="s">
        <v>101</v>
      </c>
      <c r="D32" t="s">
        <v>102</v>
      </c>
      <c r="E32">
        <v>10.09</v>
      </c>
      <c r="F32" t="s">
        <v>13</v>
      </c>
      <c r="G32">
        <v>22</v>
      </c>
      <c r="H32" t="s">
        <v>26</v>
      </c>
      <c r="I32" t="s">
        <v>15</v>
      </c>
      <c r="J32">
        <v>1</v>
      </c>
      <c r="K32">
        <f t="shared" si="0"/>
        <v>0.10616061606160616</v>
      </c>
    </row>
    <row r="33" spans="1:11" x14ac:dyDescent="0.3">
      <c r="A33" t="s">
        <v>65</v>
      </c>
      <c r="B33" t="s">
        <v>103</v>
      </c>
      <c r="C33" t="s">
        <v>104</v>
      </c>
      <c r="D33" t="s">
        <v>105</v>
      </c>
      <c r="E33">
        <v>10.3</v>
      </c>
      <c r="F33" t="s">
        <v>13</v>
      </c>
      <c r="G33">
        <v>21.51</v>
      </c>
      <c r="H33" t="s">
        <v>14</v>
      </c>
      <c r="I33" t="s">
        <v>15</v>
      </c>
      <c r="J33">
        <v>1</v>
      </c>
      <c r="K33">
        <f t="shared" si="0"/>
        <v>0.10376344086021504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2026-08-31T14:46:54Z</dcterms:created>
  <dcterms:modified xsi:type="dcterms:W3CDTF">2026-08-31T15:49:51Z</dcterms:modified>
</cp:coreProperties>
</file>