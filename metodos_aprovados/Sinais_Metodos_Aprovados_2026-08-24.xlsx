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0" documentId="11_2B59D18754AABC1B0379221159BCA033488DFF1B" xr6:coauthVersionLast="47" xr6:coauthVersionMax="47" xr10:uidLastSave="{70931A88-8C7E-43E2-A9A9-41DD2197A45B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2" i="1"/>
</calcChain>
</file>

<file path=xl/sharedStrings.xml><?xml version="1.0" encoding="utf-8"?>
<sst xmlns="http://schemas.openxmlformats.org/spreadsheetml/2006/main" count="67" uniqueCount="43">
  <si>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</si>
  <si>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</si>
  <si>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</si>
  <si>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</si>
  <si>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</si>
  <si>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</si>
  <si>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</si>
  <si>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</si>
  <si>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</si>
  <si>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</si>
  <si>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</si>
  <si>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2026-08-24</t>
  </si>
  <si>
    <t>16:00</t>
  </si>
  <si>
    <t>ITALY 3</t>
  </si>
  <si>
    <t>Salernitana x Sorrento</t>
  </si>
  <si>
    <t>Lay Under 0.5 FT (Fav)</t>
  </si>
  <si>
    <t>Under 0.5 FT</t>
  </si>
  <si>
    <t>LAY</t>
  </si>
  <si>
    <t>94.3%</t>
  </si>
  <si>
    <t>+3.18%</t>
  </si>
  <si>
    <t>Team Altamura x Monopoli</t>
  </si>
  <si>
    <t>16:15</t>
  </si>
  <si>
    <t>PORTUGAL 1</t>
  </si>
  <si>
    <t>Gil Vicente x Casa Pia</t>
  </si>
  <si>
    <t>Lay 0x1 Super Fav</t>
  </si>
  <si>
    <t>Correct Score (0x1)</t>
  </si>
  <si>
    <t>94.2%</t>
  </si>
  <si>
    <t>+2.59%</t>
  </si>
  <si>
    <t>18:30</t>
  </si>
  <si>
    <t>PARAGUAY 1</t>
  </si>
  <si>
    <t>Libertad x Sportivo San Lorenzo</t>
  </si>
  <si>
    <t>Lay Draw (Fav &lt;= 1.40)</t>
  </si>
  <si>
    <t>Match Odds (Draw)</t>
  </si>
  <si>
    <t>85.8%</t>
  </si>
  <si>
    <t>+3.26%</t>
  </si>
  <si>
    <t>19:30</t>
  </si>
  <si>
    <t>COLOMBIA 2</t>
  </si>
  <si>
    <t>Boyaca Patriotas x Atletico FC Cali</t>
  </si>
  <si>
    <t>20:00</t>
  </si>
  <si>
    <t>ARGENTINA 2</t>
  </si>
  <si>
    <t>Ferro Carril Oeste x All Boys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</si>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</sst>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L1" sqref="L1:M1"/>
    </sheetView>
  </sheetViews>
  <sheetFormatPr defaultRowHeight="14.4" x14ac:dyDescent="0.3"/>
  <cols>
    <col min="5" max="5" width="15.8867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41</v>
      </c>
      <c r="M1" s="2" t="s">
        <v>42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12.6</v>
      </c>
      <c r="I2">
        <v>1.52</v>
      </c>
      <c r="J2" t="s">
        <v>18</v>
      </c>
      <c r="K2" t="s">
        <v>19</v>
      </c>
      <c r="L2">
        <v>1</v>
      </c>
      <c r="M2">
        <f>IF(L2=1,0.965/(H2-1),-1)</f>
        <v>8.3189655172413793E-2</v>
      </c>
    </row>
    <row r="3" spans="1:13" x14ac:dyDescent="0.3">
      <c r="A3" t="s">
        <v>11</v>
      </c>
      <c r="B3" t="s">
        <v>12</v>
      </c>
      <c r="C3" t="s">
        <v>13</v>
      </c>
      <c r="D3" t="s">
        <v>20</v>
      </c>
      <c r="E3" t="s">
        <v>15</v>
      </c>
      <c r="F3" t="s">
        <v>16</v>
      </c>
      <c r="G3" t="s">
        <v>17</v>
      </c>
      <c r="H3">
        <v>7.56</v>
      </c>
      <c r="I3">
        <v>0</v>
      </c>
      <c r="J3" t="s">
        <v>18</v>
      </c>
      <c r="K3" t="s">
        <v>19</v>
      </c>
      <c r="L3">
        <v>1</v>
      </c>
      <c r="M3">
        <f t="shared" ref="M3:M7" si="0">IF(L3=1,0.965/(H3-1),-1)</f>
        <v>0.14710365853658536</v>
      </c>
    </row>
    <row r="4" spans="1:13" x14ac:dyDescent="0.3">
      <c r="A4" t="s">
        <v>11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17</v>
      </c>
      <c r="H4">
        <v>14</v>
      </c>
      <c r="I4">
        <v>1.83</v>
      </c>
      <c r="J4" t="s">
        <v>26</v>
      </c>
      <c r="K4" t="s">
        <v>27</v>
      </c>
      <c r="L4">
        <v>1</v>
      </c>
      <c r="M4">
        <f t="shared" si="0"/>
        <v>7.4230769230769225E-2</v>
      </c>
    </row>
    <row r="5" spans="1:13" x14ac:dyDescent="0.3">
      <c r="A5" t="s">
        <v>11</v>
      </c>
      <c r="B5" t="s">
        <v>28</v>
      </c>
      <c r="C5" t="s">
        <v>29</v>
      </c>
      <c r="D5" t="s">
        <v>30</v>
      </c>
      <c r="E5" t="s">
        <v>31</v>
      </c>
      <c r="F5" t="s">
        <v>32</v>
      </c>
      <c r="G5" t="s">
        <v>17</v>
      </c>
      <c r="H5">
        <v>5.46</v>
      </c>
      <c r="I5">
        <v>1.37</v>
      </c>
      <c r="J5" t="s">
        <v>33</v>
      </c>
      <c r="K5" t="s">
        <v>34</v>
      </c>
      <c r="L5">
        <v>1</v>
      </c>
      <c r="M5">
        <f t="shared" si="0"/>
        <v>0.21636771300448429</v>
      </c>
    </row>
    <row r="6" spans="1:13" x14ac:dyDescent="0.3">
      <c r="A6" t="s">
        <v>11</v>
      </c>
      <c r="B6" t="s">
        <v>35</v>
      </c>
      <c r="C6" t="s">
        <v>36</v>
      </c>
      <c r="D6" t="s">
        <v>37</v>
      </c>
      <c r="E6" t="s">
        <v>31</v>
      </c>
      <c r="F6" t="s">
        <v>32</v>
      </c>
      <c r="G6" t="s">
        <v>17</v>
      </c>
      <c r="H6">
        <v>5.15</v>
      </c>
      <c r="I6">
        <v>1.39</v>
      </c>
      <c r="J6" t="s">
        <v>33</v>
      </c>
      <c r="K6" t="s">
        <v>34</v>
      </c>
      <c r="L6">
        <v>1</v>
      </c>
      <c r="M6">
        <f t="shared" si="0"/>
        <v>0.23253012048192767</v>
      </c>
    </row>
    <row r="7" spans="1:13" x14ac:dyDescent="0.3">
      <c r="A7" t="s">
        <v>11</v>
      </c>
      <c r="B7" t="s">
        <v>38</v>
      </c>
      <c r="C7" t="s">
        <v>39</v>
      </c>
      <c r="D7" t="s">
        <v>40</v>
      </c>
      <c r="E7" t="s">
        <v>24</v>
      </c>
      <c r="F7" t="s">
        <v>25</v>
      </c>
      <c r="G7" t="s">
        <v>17</v>
      </c>
      <c r="H7">
        <v>15</v>
      </c>
      <c r="I7">
        <v>1.72</v>
      </c>
      <c r="J7" t="s">
        <v>26</v>
      </c>
      <c r="K7" t="s">
        <v>27</v>
      </c>
      <c r="L7">
        <v>1</v>
      </c>
      <c r="M7">
        <f t="shared" si="0"/>
        <v>6.8928571428571422E-2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2026-08-28T21:13:29Z</dcterms:created>
  <dcterms:modified xsi:type="dcterms:W3CDTF">2026-08-28T21:24:02Z</dcterms:modified>
</cp:coreProperties>
</file>