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29" documentId="11_24C55084542AB6638F3A2311595ED87656CDEBE9" xr6:coauthVersionLast="47" xr6:coauthVersionMax="47" xr10:uidLastSave="{69E69EA7-A0D1-4216-AC6C-D7FE331DB5F0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2" i="1"/>
</calcChain>
</file>

<file path=xl/sharedStrings.xml><?xml version="1.0" encoding="utf-8"?>
<sst xmlns="http://schemas.openxmlformats.org/spreadsheetml/2006/main" count="267" uniqueCount="91">
  <si>
    <t>Data</t>
  </si>
  <si>
    <t>Hora</t>
  </si>
  <si>
    <t>Liga</t>
  </si>
  <si>
    <t>Jogo</t>
  </si>
  <si>
    <t>Método</t>
  </si>
  <si>
    <t>Mercado</t>
  </si>
  <si>
    <t>Lado</t>
  </si>
  <si>
    <t>Odd_Entrada</t>
  </si>
  <si>
    <t>Stake_Sugerida_R$</t>
  </si>
  <si>
    <t>Lucro_Green_R$</t>
  </si>
  <si>
    <t>Risco_Red_R$</t>
  </si>
  <si>
    <t>Expectativa_WR</t>
  </si>
  <si>
    <t>EV_Estimado</t>
  </si>
  <si>
    <t>2026-08-30</t>
  </si>
  <si>
    <t>08:30</t>
  </si>
  <si>
    <t>CHINA 1</t>
  </si>
  <si>
    <t>Guangdong GZ-Power FC x Changchun Yatai</t>
  </si>
  <si>
    <t>Lay Under 0.5 FT (Fav)</t>
  </si>
  <si>
    <t>Under 0.5 FT</t>
  </si>
  <si>
    <t>LAY</t>
  </si>
  <si>
    <t>94.3%</t>
  </si>
  <si>
    <t>+3.18%</t>
  </si>
  <si>
    <t>Lay Draw (Fav &lt;= 1.40)</t>
  </si>
  <si>
    <t>Match Odds (Draw)</t>
  </si>
  <si>
    <t>85.8%</t>
  </si>
  <si>
    <t>+3.26%</t>
  </si>
  <si>
    <t>09:30</t>
  </si>
  <si>
    <t>NETHERLANDS 1</t>
  </si>
  <si>
    <t>Feyenoord x ADO Den Haag</t>
  </si>
  <si>
    <t>NORWAY 1</t>
  </si>
  <si>
    <t>Bodo Glimt x Rosenborg</t>
  </si>
  <si>
    <t>UKRAINE 1</t>
  </si>
  <si>
    <t>LNZ-Lebedyn x Veres Rivne</t>
  </si>
  <si>
    <t>12:00</t>
  </si>
  <si>
    <t>CZECH 1</t>
  </si>
  <si>
    <t>Plzen x Slovacko</t>
  </si>
  <si>
    <t>Viking x Aalesunds</t>
  </si>
  <si>
    <t>SLOVAKIA 1</t>
  </si>
  <si>
    <t>Slovan Bratislava x Zemplin</t>
  </si>
  <si>
    <t>12:30</t>
  </si>
  <si>
    <t>ENGLAND 1</t>
  </si>
  <si>
    <t>Man Utd x Ipswich</t>
  </si>
  <si>
    <t>13:00</t>
  </si>
  <si>
    <t>BULGARIA 1</t>
  </si>
  <si>
    <t>Spartak Varna x Ludogorets</t>
  </si>
  <si>
    <t>14:00</t>
  </si>
  <si>
    <t>AUSTRIA 1</t>
  </si>
  <si>
    <t>Red Bull Salzburg x Austria Wien</t>
  </si>
  <si>
    <t>15:00</t>
  </si>
  <si>
    <t>ARGENTINA 2</t>
  </si>
  <si>
    <t>Club Atletico Mitre x CA Central Norte</t>
  </si>
  <si>
    <t>Lay 0x1 Super Fav</t>
  </si>
  <si>
    <t>Correct Score (0x1)</t>
  </si>
  <si>
    <t>94.2%</t>
  </si>
  <si>
    <t>+2.59%</t>
  </si>
  <si>
    <t>ECUADOR 1</t>
  </si>
  <si>
    <t>Aucas x Libertad FC</t>
  </si>
  <si>
    <t>GREECE 1</t>
  </si>
  <si>
    <t>Asteras Tripolis x Olympiakos</t>
  </si>
  <si>
    <t>SAUDI ARABIA 1</t>
  </si>
  <si>
    <t>Al-Quadisiya (KSA) x Al Faisaly ( KSA )</t>
  </si>
  <si>
    <t>15:30</t>
  </si>
  <si>
    <t>Deportivo Moron x CA San Miguel</t>
  </si>
  <si>
    <t>16:00</t>
  </si>
  <si>
    <t>BOSNIA 1</t>
  </si>
  <si>
    <t>Radnik Bijeljina x Borac Banja Luka</t>
  </si>
  <si>
    <t>BRAZIL 1</t>
  </si>
  <si>
    <t>Flamengo x Botafogo FR</t>
  </si>
  <si>
    <t>BRAZIL 2</t>
  </si>
  <si>
    <t>America MG x Ponte Preta</t>
  </si>
  <si>
    <t>COLOMBIA 1</t>
  </si>
  <si>
    <t>Aguilas Doradas x Boyaca Chico</t>
  </si>
  <si>
    <t>17:00</t>
  </si>
  <si>
    <t>ARGENTINA 1</t>
  </si>
  <si>
    <t>Argentinos Juniors x Aldosivi</t>
  </si>
  <si>
    <t>18:10</t>
  </si>
  <si>
    <t>Ind Medellin x Llaneros FC</t>
  </si>
  <si>
    <t>18:30</t>
  </si>
  <si>
    <t>San Martin de Tucuman x CA Guemes</t>
  </si>
  <si>
    <t>20:00</t>
  </si>
  <si>
    <t>VENEZUELA 1</t>
  </si>
  <si>
    <t>Carabobo FC x Zamora FC</t>
  </si>
  <si>
    <t>20:15</t>
  </si>
  <si>
    <t>Millonarios x Internacional de Bogotá</t>
  </si>
  <si>
    <t>20:30</t>
  </si>
  <si>
    <t>Deportivo La Guaira x Estudiantes de Merida</t>
  </si>
  <si>
    <t>21:00</t>
  </si>
  <si>
    <t>MEXICO 1</t>
  </si>
  <si>
    <t>Toluca x FC Juarez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</si>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</sst>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"/>
  <sheetViews>
    <sheetView tabSelected="1" topLeftCell="A3" workbookViewId="0">
      <selection activeCell="O2" sqref="O2:O29"/>
    </sheetView>
  </sheetViews>
  <sheetFormatPr defaultRowHeight="14.4" x14ac:dyDescent="0.3"/>
  <cols>
    <col min="5" max="5" width="19.109375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89</v>
      </c>
      <c r="O1" s="2" t="s">
        <v>90</v>
      </c>
    </row>
    <row r="2" spans="1:15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>
        <v>14.18</v>
      </c>
      <c r="I2">
        <v>7.59</v>
      </c>
      <c r="J2">
        <v>7.25</v>
      </c>
      <c r="K2">
        <v>100</v>
      </c>
      <c r="L2" t="s">
        <v>20</v>
      </c>
      <c r="M2" t="s">
        <v>21</v>
      </c>
      <c r="N2">
        <v>1</v>
      </c>
      <c r="O2">
        <f>IF(N2=1,0.965/(J2-1),-1)</f>
        <v>0.15439999999999998</v>
      </c>
    </row>
    <row r="3" spans="1:15" x14ac:dyDescent="0.3">
      <c r="A3" t="s">
        <v>13</v>
      </c>
      <c r="B3" t="s">
        <v>14</v>
      </c>
      <c r="C3" t="s">
        <v>15</v>
      </c>
      <c r="D3" t="s">
        <v>16</v>
      </c>
      <c r="E3" t="s">
        <v>22</v>
      </c>
      <c r="F3" t="s">
        <v>23</v>
      </c>
      <c r="G3" t="s">
        <v>19</v>
      </c>
      <c r="H3">
        <v>5.46</v>
      </c>
      <c r="I3">
        <v>22.42</v>
      </c>
      <c r="J3">
        <v>21.41</v>
      </c>
      <c r="K3">
        <v>100</v>
      </c>
      <c r="L3" t="s">
        <v>24</v>
      </c>
      <c r="M3" t="s">
        <v>25</v>
      </c>
      <c r="N3">
        <v>1</v>
      </c>
      <c r="O3">
        <f t="shared" ref="O3:O29" si="0">IF(N3=1,0.965/(J3-1),-1)</f>
        <v>4.7280744732974028E-2</v>
      </c>
    </row>
    <row r="4" spans="1:15" x14ac:dyDescent="0.3">
      <c r="A4" t="s">
        <v>13</v>
      </c>
      <c r="B4" t="s">
        <v>26</v>
      </c>
      <c r="C4" t="s">
        <v>27</v>
      </c>
      <c r="D4" t="s">
        <v>28</v>
      </c>
      <c r="E4" t="s">
        <v>22</v>
      </c>
      <c r="F4" t="s">
        <v>23</v>
      </c>
      <c r="G4" t="s">
        <v>19</v>
      </c>
      <c r="H4">
        <v>9.06</v>
      </c>
      <c r="I4">
        <v>12.41</v>
      </c>
      <c r="J4">
        <v>11.85</v>
      </c>
      <c r="K4">
        <v>100</v>
      </c>
      <c r="L4" t="s">
        <v>24</v>
      </c>
      <c r="M4" t="s">
        <v>25</v>
      </c>
      <c r="N4">
        <v>0</v>
      </c>
      <c r="O4">
        <f t="shared" si="0"/>
        <v>-1</v>
      </c>
    </row>
    <row r="5" spans="1:15" x14ac:dyDescent="0.3">
      <c r="A5" t="s">
        <v>13</v>
      </c>
      <c r="B5" t="s">
        <v>26</v>
      </c>
      <c r="C5" t="s">
        <v>29</v>
      </c>
      <c r="D5" t="s">
        <v>30</v>
      </c>
      <c r="E5" t="s">
        <v>22</v>
      </c>
      <c r="F5" t="s">
        <v>23</v>
      </c>
      <c r="G5" t="s">
        <v>19</v>
      </c>
      <c r="H5">
        <v>6.8</v>
      </c>
      <c r="I5">
        <v>17.239999999999998</v>
      </c>
      <c r="J5">
        <v>16.46</v>
      </c>
      <c r="K5">
        <v>100</v>
      </c>
      <c r="L5" t="s">
        <v>24</v>
      </c>
      <c r="M5" t="s">
        <v>25</v>
      </c>
      <c r="N5">
        <v>1</v>
      </c>
      <c r="O5">
        <f t="shared" si="0"/>
        <v>6.2419146183699863E-2</v>
      </c>
    </row>
    <row r="6" spans="1:15" x14ac:dyDescent="0.3">
      <c r="A6" t="s">
        <v>13</v>
      </c>
      <c r="B6" t="s">
        <v>26</v>
      </c>
      <c r="C6" t="s">
        <v>31</v>
      </c>
      <c r="D6" t="s">
        <v>32</v>
      </c>
      <c r="E6" t="s">
        <v>17</v>
      </c>
      <c r="F6" t="s">
        <v>18</v>
      </c>
      <c r="G6" t="s">
        <v>19</v>
      </c>
      <c r="H6">
        <v>13.12</v>
      </c>
      <c r="I6">
        <v>8.25</v>
      </c>
      <c r="J6">
        <v>7.88</v>
      </c>
      <c r="K6">
        <v>100</v>
      </c>
      <c r="L6" t="s">
        <v>20</v>
      </c>
      <c r="M6" t="s">
        <v>21</v>
      </c>
      <c r="N6">
        <v>1</v>
      </c>
      <c r="O6">
        <f t="shared" si="0"/>
        <v>0.14026162790697674</v>
      </c>
    </row>
    <row r="7" spans="1:15" x14ac:dyDescent="0.3">
      <c r="A7" t="s">
        <v>13</v>
      </c>
      <c r="B7" t="s">
        <v>33</v>
      </c>
      <c r="C7" t="s">
        <v>34</v>
      </c>
      <c r="D7" t="s">
        <v>35</v>
      </c>
      <c r="E7" t="s">
        <v>22</v>
      </c>
      <c r="F7" t="s">
        <v>23</v>
      </c>
      <c r="G7" t="s">
        <v>19</v>
      </c>
      <c r="H7">
        <v>5.97</v>
      </c>
      <c r="I7">
        <v>20.12</v>
      </c>
      <c r="J7">
        <v>19.21</v>
      </c>
      <c r="K7">
        <v>100</v>
      </c>
      <c r="L7" t="s">
        <v>24</v>
      </c>
      <c r="M7" t="s">
        <v>25</v>
      </c>
      <c r="N7">
        <v>0</v>
      </c>
      <c r="O7">
        <f t="shared" si="0"/>
        <v>-1</v>
      </c>
    </row>
    <row r="8" spans="1:15" x14ac:dyDescent="0.3">
      <c r="A8" t="s">
        <v>13</v>
      </c>
      <c r="B8" t="s">
        <v>33</v>
      </c>
      <c r="C8" t="s">
        <v>29</v>
      </c>
      <c r="D8" t="s">
        <v>36</v>
      </c>
      <c r="E8" t="s">
        <v>22</v>
      </c>
      <c r="F8" t="s">
        <v>23</v>
      </c>
      <c r="G8" t="s">
        <v>19</v>
      </c>
      <c r="H8">
        <v>6.8</v>
      </c>
      <c r="I8">
        <v>17.239999999999998</v>
      </c>
      <c r="J8">
        <v>16.46</v>
      </c>
      <c r="K8">
        <v>100</v>
      </c>
      <c r="L8" t="s">
        <v>24</v>
      </c>
      <c r="M8" t="s">
        <v>25</v>
      </c>
      <c r="N8">
        <v>1</v>
      </c>
      <c r="O8">
        <f t="shared" si="0"/>
        <v>6.2419146183699863E-2</v>
      </c>
    </row>
    <row r="9" spans="1:15" x14ac:dyDescent="0.3">
      <c r="A9" t="s">
        <v>13</v>
      </c>
      <c r="B9" t="s">
        <v>33</v>
      </c>
      <c r="C9" t="s">
        <v>37</v>
      </c>
      <c r="D9" t="s">
        <v>38</v>
      </c>
      <c r="E9" t="s">
        <v>22</v>
      </c>
      <c r="F9" t="s">
        <v>23</v>
      </c>
      <c r="G9" t="s">
        <v>19</v>
      </c>
      <c r="H9">
        <v>6.59</v>
      </c>
      <c r="I9">
        <v>17.89</v>
      </c>
      <c r="J9">
        <v>17.079999999999998</v>
      </c>
      <c r="K9">
        <v>100</v>
      </c>
      <c r="L9" t="s">
        <v>24</v>
      </c>
      <c r="M9" t="s">
        <v>25</v>
      </c>
      <c r="N9">
        <v>1</v>
      </c>
      <c r="O9">
        <f t="shared" si="0"/>
        <v>6.0012437810945278E-2</v>
      </c>
    </row>
    <row r="10" spans="1:15" x14ac:dyDescent="0.3">
      <c r="A10" t="s">
        <v>13</v>
      </c>
      <c r="B10" t="s">
        <v>39</v>
      </c>
      <c r="C10" t="s">
        <v>40</v>
      </c>
      <c r="D10" t="s">
        <v>41</v>
      </c>
      <c r="E10" t="s">
        <v>22</v>
      </c>
      <c r="F10" t="s">
        <v>23</v>
      </c>
      <c r="G10" t="s">
        <v>19</v>
      </c>
      <c r="H10">
        <v>5.87</v>
      </c>
      <c r="I10">
        <v>20.53</v>
      </c>
      <c r="J10">
        <v>19.61</v>
      </c>
      <c r="K10">
        <v>100</v>
      </c>
      <c r="L10" t="s">
        <v>24</v>
      </c>
      <c r="M10" t="s">
        <v>25</v>
      </c>
      <c r="N10">
        <v>1</v>
      </c>
      <c r="O10">
        <f t="shared" si="0"/>
        <v>5.1853842020419129E-2</v>
      </c>
    </row>
    <row r="11" spans="1:15" x14ac:dyDescent="0.3">
      <c r="A11" t="s">
        <v>13</v>
      </c>
      <c r="B11" t="s">
        <v>42</v>
      </c>
      <c r="C11" t="s">
        <v>43</v>
      </c>
      <c r="D11" t="s">
        <v>44</v>
      </c>
      <c r="E11" t="s">
        <v>17</v>
      </c>
      <c r="F11" t="s">
        <v>18</v>
      </c>
      <c r="G11" t="s">
        <v>19</v>
      </c>
      <c r="H11">
        <v>13.12</v>
      </c>
      <c r="I11">
        <v>8.25</v>
      </c>
      <c r="J11">
        <v>7.88</v>
      </c>
      <c r="K11">
        <v>100</v>
      </c>
      <c r="L11" t="s">
        <v>20</v>
      </c>
      <c r="M11" t="s">
        <v>21</v>
      </c>
      <c r="N11">
        <v>1</v>
      </c>
      <c r="O11">
        <f t="shared" si="0"/>
        <v>0.14026162790697674</v>
      </c>
    </row>
    <row r="12" spans="1:15" x14ac:dyDescent="0.3">
      <c r="A12" t="s">
        <v>13</v>
      </c>
      <c r="B12" t="s">
        <v>45</v>
      </c>
      <c r="C12" t="s">
        <v>46</v>
      </c>
      <c r="D12" t="s">
        <v>47</v>
      </c>
      <c r="E12" t="s">
        <v>22</v>
      </c>
      <c r="F12" t="s">
        <v>23</v>
      </c>
      <c r="G12" t="s">
        <v>19</v>
      </c>
      <c r="H12">
        <v>5.87</v>
      </c>
      <c r="I12">
        <v>20.53</v>
      </c>
      <c r="J12">
        <v>19.61</v>
      </c>
      <c r="K12">
        <v>100</v>
      </c>
      <c r="L12" t="s">
        <v>24</v>
      </c>
      <c r="M12" t="s">
        <v>25</v>
      </c>
      <c r="N12">
        <v>1</v>
      </c>
      <c r="O12">
        <f t="shared" si="0"/>
        <v>5.1853842020419129E-2</v>
      </c>
    </row>
    <row r="13" spans="1:15" x14ac:dyDescent="0.3">
      <c r="A13" t="s">
        <v>13</v>
      </c>
      <c r="B13" t="s">
        <v>48</v>
      </c>
      <c r="C13" t="s">
        <v>49</v>
      </c>
      <c r="D13" t="s">
        <v>50</v>
      </c>
      <c r="E13" t="s">
        <v>51</v>
      </c>
      <c r="F13" t="s">
        <v>52</v>
      </c>
      <c r="G13" t="s">
        <v>19</v>
      </c>
      <c r="H13">
        <v>14</v>
      </c>
      <c r="I13">
        <v>7.69</v>
      </c>
      <c r="J13">
        <v>7.34</v>
      </c>
      <c r="K13">
        <v>100</v>
      </c>
      <c r="L13" t="s">
        <v>53</v>
      </c>
      <c r="M13" t="s">
        <v>54</v>
      </c>
      <c r="N13">
        <v>1</v>
      </c>
      <c r="O13">
        <f t="shared" si="0"/>
        <v>0.15220820189274448</v>
      </c>
    </row>
    <row r="14" spans="1:15" x14ac:dyDescent="0.3">
      <c r="A14" t="s">
        <v>13</v>
      </c>
      <c r="B14" t="s">
        <v>48</v>
      </c>
      <c r="C14" t="s">
        <v>55</v>
      </c>
      <c r="D14" t="s">
        <v>56</v>
      </c>
      <c r="E14" t="s">
        <v>17</v>
      </c>
      <c r="F14" t="s">
        <v>18</v>
      </c>
      <c r="G14" t="s">
        <v>19</v>
      </c>
      <c r="H14">
        <v>12.6</v>
      </c>
      <c r="I14">
        <v>8.6199999999999992</v>
      </c>
      <c r="J14">
        <v>8.23</v>
      </c>
      <c r="K14">
        <v>100</v>
      </c>
      <c r="L14" t="s">
        <v>20</v>
      </c>
      <c r="M14" t="s">
        <v>21</v>
      </c>
      <c r="N14">
        <v>1</v>
      </c>
      <c r="O14">
        <f t="shared" si="0"/>
        <v>0.1334716459197787</v>
      </c>
    </row>
    <row r="15" spans="1:15" x14ac:dyDescent="0.3">
      <c r="A15" t="s">
        <v>13</v>
      </c>
      <c r="B15" t="s">
        <v>48</v>
      </c>
      <c r="C15" t="s">
        <v>57</v>
      </c>
      <c r="D15" t="s">
        <v>58</v>
      </c>
      <c r="E15" t="s">
        <v>17</v>
      </c>
      <c r="F15" t="s">
        <v>18</v>
      </c>
      <c r="G15" t="s">
        <v>19</v>
      </c>
      <c r="H15">
        <v>12.6</v>
      </c>
      <c r="I15">
        <v>8.6199999999999992</v>
      </c>
      <c r="J15">
        <v>8.23</v>
      </c>
      <c r="K15">
        <v>100</v>
      </c>
      <c r="L15" t="s">
        <v>20</v>
      </c>
      <c r="M15" t="s">
        <v>21</v>
      </c>
      <c r="N15">
        <v>1</v>
      </c>
      <c r="O15">
        <f t="shared" si="0"/>
        <v>0.1334716459197787</v>
      </c>
    </row>
    <row r="16" spans="1:15" x14ac:dyDescent="0.3">
      <c r="A16" t="s">
        <v>13</v>
      </c>
      <c r="B16" t="s">
        <v>48</v>
      </c>
      <c r="C16" t="s">
        <v>59</v>
      </c>
      <c r="D16" t="s">
        <v>60</v>
      </c>
      <c r="E16" t="s">
        <v>22</v>
      </c>
      <c r="F16" t="s">
        <v>23</v>
      </c>
      <c r="G16" t="s">
        <v>19</v>
      </c>
      <c r="H16">
        <v>9.27</v>
      </c>
      <c r="I16">
        <v>12.09</v>
      </c>
      <c r="J16">
        <v>11.55</v>
      </c>
      <c r="K16">
        <v>100</v>
      </c>
      <c r="L16" t="s">
        <v>24</v>
      </c>
      <c r="M16" t="s">
        <v>25</v>
      </c>
      <c r="N16">
        <v>1</v>
      </c>
      <c r="O16">
        <f t="shared" si="0"/>
        <v>9.1469194312796195E-2</v>
      </c>
    </row>
    <row r="17" spans="1:15" x14ac:dyDescent="0.3">
      <c r="A17" t="s">
        <v>13</v>
      </c>
      <c r="B17" t="s">
        <v>61</v>
      </c>
      <c r="C17" t="s">
        <v>49</v>
      </c>
      <c r="D17" t="s">
        <v>62</v>
      </c>
      <c r="E17" t="s">
        <v>51</v>
      </c>
      <c r="F17" t="s">
        <v>52</v>
      </c>
      <c r="G17" t="s">
        <v>19</v>
      </c>
      <c r="H17">
        <v>14</v>
      </c>
      <c r="I17">
        <v>7.69</v>
      </c>
      <c r="J17">
        <v>7.34</v>
      </c>
      <c r="K17">
        <v>100</v>
      </c>
      <c r="L17" t="s">
        <v>53</v>
      </c>
      <c r="M17" t="s">
        <v>54</v>
      </c>
      <c r="N17">
        <v>1</v>
      </c>
      <c r="O17">
        <f t="shared" si="0"/>
        <v>0.15220820189274448</v>
      </c>
    </row>
    <row r="18" spans="1:15" x14ac:dyDescent="0.3">
      <c r="A18" t="s">
        <v>13</v>
      </c>
      <c r="B18" t="s">
        <v>63</v>
      </c>
      <c r="C18" t="s">
        <v>64</v>
      </c>
      <c r="D18" t="s">
        <v>65</v>
      </c>
      <c r="E18" t="s">
        <v>17</v>
      </c>
      <c r="F18" t="s">
        <v>18</v>
      </c>
      <c r="G18" t="s">
        <v>19</v>
      </c>
      <c r="H18">
        <v>12.6</v>
      </c>
      <c r="I18">
        <v>8.6199999999999992</v>
      </c>
      <c r="J18">
        <v>8.23</v>
      </c>
      <c r="K18">
        <v>100</v>
      </c>
      <c r="L18" t="s">
        <v>20</v>
      </c>
      <c r="M18" t="s">
        <v>21</v>
      </c>
      <c r="N18">
        <v>1</v>
      </c>
      <c r="O18">
        <f t="shared" si="0"/>
        <v>0.1334716459197787</v>
      </c>
    </row>
    <row r="19" spans="1:15" x14ac:dyDescent="0.3">
      <c r="A19" t="s">
        <v>13</v>
      </c>
      <c r="B19" t="s">
        <v>63</v>
      </c>
      <c r="C19" t="s">
        <v>66</v>
      </c>
      <c r="D19" t="s">
        <v>67</v>
      </c>
      <c r="E19" t="s">
        <v>22</v>
      </c>
      <c r="F19" t="s">
        <v>23</v>
      </c>
      <c r="G19" t="s">
        <v>19</v>
      </c>
      <c r="H19">
        <v>5.77</v>
      </c>
      <c r="I19">
        <v>20.96</v>
      </c>
      <c r="J19">
        <v>20.02</v>
      </c>
      <c r="K19">
        <v>100</v>
      </c>
      <c r="L19" t="s">
        <v>24</v>
      </c>
      <c r="M19" t="s">
        <v>25</v>
      </c>
      <c r="N19">
        <v>1</v>
      </c>
      <c r="O19">
        <f t="shared" si="0"/>
        <v>5.073606729758149E-2</v>
      </c>
    </row>
    <row r="20" spans="1:15" x14ac:dyDescent="0.3">
      <c r="A20" t="s">
        <v>13</v>
      </c>
      <c r="B20" t="s">
        <v>63</v>
      </c>
      <c r="C20" t="s">
        <v>68</v>
      </c>
      <c r="D20" t="s">
        <v>69</v>
      </c>
      <c r="E20" t="s">
        <v>22</v>
      </c>
      <c r="F20" t="s">
        <v>23</v>
      </c>
      <c r="G20" t="s">
        <v>19</v>
      </c>
      <c r="H20">
        <v>9.27</v>
      </c>
      <c r="I20">
        <v>12.09</v>
      </c>
      <c r="J20">
        <v>11.55</v>
      </c>
      <c r="K20">
        <v>100</v>
      </c>
      <c r="L20" t="s">
        <v>24</v>
      </c>
      <c r="M20" t="s">
        <v>25</v>
      </c>
      <c r="N20">
        <v>1</v>
      </c>
      <c r="O20">
        <f t="shared" si="0"/>
        <v>9.1469194312796195E-2</v>
      </c>
    </row>
    <row r="21" spans="1:15" x14ac:dyDescent="0.3">
      <c r="A21" t="s">
        <v>13</v>
      </c>
      <c r="B21" t="s">
        <v>63</v>
      </c>
      <c r="C21" t="s">
        <v>70</v>
      </c>
      <c r="D21" t="s">
        <v>71</v>
      </c>
      <c r="E21" t="s">
        <v>17</v>
      </c>
      <c r="F21" t="s">
        <v>18</v>
      </c>
      <c r="G21" t="s">
        <v>19</v>
      </c>
      <c r="H21">
        <v>10.5</v>
      </c>
      <c r="I21">
        <v>10.53</v>
      </c>
      <c r="J21">
        <v>10.06</v>
      </c>
      <c r="K21">
        <v>100</v>
      </c>
      <c r="L21" t="s">
        <v>20</v>
      </c>
      <c r="M21" t="s">
        <v>21</v>
      </c>
      <c r="N21">
        <v>1</v>
      </c>
      <c r="O21">
        <f t="shared" si="0"/>
        <v>0.10651214128035319</v>
      </c>
    </row>
    <row r="22" spans="1:15" x14ac:dyDescent="0.3">
      <c r="A22" t="s">
        <v>13</v>
      </c>
      <c r="B22" t="s">
        <v>72</v>
      </c>
      <c r="C22" t="s">
        <v>73</v>
      </c>
      <c r="D22" t="s">
        <v>74</v>
      </c>
      <c r="E22" t="s">
        <v>17</v>
      </c>
      <c r="F22" t="s">
        <v>18</v>
      </c>
      <c r="G22" t="s">
        <v>19</v>
      </c>
      <c r="H22">
        <v>11.55</v>
      </c>
      <c r="I22">
        <v>9.48</v>
      </c>
      <c r="J22">
        <v>9.0500000000000007</v>
      </c>
      <c r="K22">
        <v>100</v>
      </c>
      <c r="L22" t="s">
        <v>20</v>
      </c>
      <c r="M22" t="s">
        <v>21</v>
      </c>
      <c r="N22">
        <v>1</v>
      </c>
      <c r="O22">
        <f t="shared" si="0"/>
        <v>0.11987577639751551</v>
      </c>
    </row>
    <row r="23" spans="1:15" x14ac:dyDescent="0.3">
      <c r="A23" t="s">
        <v>13</v>
      </c>
      <c r="B23" t="s">
        <v>75</v>
      </c>
      <c r="C23" t="s">
        <v>70</v>
      </c>
      <c r="D23" t="s">
        <v>76</v>
      </c>
      <c r="E23" t="s">
        <v>17</v>
      </c>
      <c r="F23" t="s">
        <v>18</v>
      </c>
      <c r="G23" t="s">
        <v>19</v>
      </c>
      <c r="H23">
        <v>13.12</v>
      </c>
      <c r="I23">
        <v>8.25</v>
      </c>
      <c r="J23">
        <v>7.88</v>
      </c>
      <c r="K23">
        <v>100</v>
      </c>
      <c r="L23" t="s">
        <v>20</v>
      </c>
      <c r="M23" t="s">
        <v>21</v>
      </c>
      <c r="N23">
        <v>1</v>
      </c>
      <c r="O23">
        <f t="shared" si="0"/>
        <v>0.14026162790697674</v>
      </c>
    </row>
    <row r="24" spans="1:15" x14ac:dyDescent="0.3">
      <c r="A24" t="s">
        <v>13</v>
      </c>
      <c r="B24" t="s">
        <v>77</v>
      </c>
      <c r="C24" t="s">
        <v>49</v>
      </c>
      <c r="D24" t="s">
        <v>78</v>
      </c>
      <c r="E24" t="s">
        <v>17</v>
      </c>
      <c r="F24" t="s">
        <v>18</v>
      </c>
      <c r="G24" t="s">
        <v>19</v>
      </c>
      <c r="H24">
        <v>8.19</v>
      </c>
      <c r="I24">
        <v>13.91</v>
      </c>
      <c r="J24">
        <v>13.28</v>
      </c>
      <c r="K24">
        <v>100</v>
      </c>
      <c r="L24" t="s">
        <v>20</v>
      </c>
      <c r="M24" t="s">
        <v>21</v>
      </c>
      <c r="N24">
        <v>1</v>
      </c>
      <c r="O24">
        <f t="shared" si="0"/>
        <v>7.8583061889250821E-2</v>
      </c>
    </row>
    <row r="25" spans="1:15" x14ac:dyDescent="0.3">
      <c r="A25" t="s">
        <v>13</v>
      </c>
      <c r="B25" t="s">
        <v>79</v>
      </c>
      <c r="C25" t="s">
        <v>80</v>
      </c>
      <c r="D25" t="s">
        <v>81</v>
      </c>
      <c r="E25" t="s">
        <v>17</v>
      </c>
      <c r="F25" t="s">
        <v>18</v>
      </c>
      <c r="G25" t="s">
        <v>19</v>
      </c>
      <c r="H25">
        <v>14.18</v>
      </c>
      <c r="I25">
        <v>7.59</v>
      </c>
      <c r="J25">
        <v>7.25</v>
      </c>
      <c r="K25">
        <v>100</v>
      </c>
      <c r="L25" t="s">
        <v>20</v>
      </c>
      <c r="M25" t="s">
        <v>21</v>
      </c>
      <c r="N25">
        <v>1</v>
      </c>
      <c r="O25">
        <f t="shared" si="0"/>
        <v>0.15439999999999998</v>
      </c>
    </row>
    <row r="26" spans="1:15" x14ac:dyDescent="0.3">
      <c r="A26" t="s">
        <v>13</v>
      </c>
      <c r="B26" t="s">
        <v>79</v>
      </c>
      <c r="C26" t="s">
        <v>80</v>
      </c>
      <c r="D26" t="s">
        <v>81</v>
      </c>
      <c r="E26" t="s">
        <v>22</v>
      </c>
      <c r="F26" t="s">
        <v>23</v>
      </c>
      <c r="G26" t="s">
        <v>19</v>
      </c>
      <c r="H26">
        <v>4.74</v>
      </c>
      <c r="I26">
        <v>26.74</v>
      </c>
      <c r="J26">
        <v>25.54</v>
      </c>
      <c r="K26">
        <v>100</v>
      </c>
      <c r="L26" t="s">
        <v>24</v>
      </c>
      <c r="M26" t="s">
        <v>25</v>
      </c>
      <c r="N26">
        <v>1</v>
      </c>
      <c r="O26">
        <f t="shared" si="0"/>
        <v>3.932355338223309E-2</v>
      </c>
    </row>
    <row r="27" spans="1:15" x14ac:dyDescent="0.3">
      <c r="A27" t="s">
        <v>13</v>
      </c>
      <c r="B27" t="s">
        <v>82</v>
      </c>
      <c r="C27" t="s">
        <v>70</v>
      </c>
      <c r="D27" t="s">
        <v>83</v>
      </c>
      <c r="E27" t="s">
        <v>17</v>
      </c>
      <c r="F27" t="s">
        <v>18</v>
      </c>
      <c r="G27" t="s">
        <v>19</v>
      </c>
      <c r="H27">
        <v>14.7</v>
      </c>
      <c r="I27">
        <v>7.3</v>
      </c>
      <c r="J27">
        <v>6.97</v>
      </c>
      <c r="K27">
        <v>100</v>
      </c>
      <c r="L27" t="s">
        <v>20</v>
      </c>
      <c r="M27" t="s">
        <v>21</v>
      </c>
      <c r="O27">
        <f t="shared" si="0"/>
        <v>-1</v>
      </c>
    </row>
    <row r="28" spans="1:15" x14ac:dyDescent="0.3">
      <c r="A28" t="s">
        <v>13</v>
      </c>
      <c r="B28" t="s">
        <v>84</v>
      </c>
      <c r="C28" t="s">
        <v>80</v>
      </c>
      <c r="D28" t="s">
        <v>85</v>
      </c>
      <c r="E28" t="s">
        <v>17</v>
      </c>
      <c r="F28" t="s">
        <v>18</v>
      </c>
      <c r="G28" t="s">
        <v>19</v>
      </c>
      <c r="H28">
        <v>11.55</v>
      </c>
      <c r="I28">
        <v>9.48</v>
      </c>
      <c r="J28">
        <v>9.0500000000000007</v>
      </c>
      <c r="K28">
        <v>100</v>
      </c>
      <c r="L28" t="s">
        <v>20</v>
      </c>
      <c r="M28" t="s">
        <v>21</v>
      </c>
      <c r="N28">
        <v>1</v>
      </c>
      <c r="O28">
        <f t="shared" si="0"/>
        <v>0.11987577639751551</v>
      </c>
    </row>
    <row r="29" spans="1:15" x14ac:dyDescent="0.3">
      <c r="A29" t="s">
        <v>13</v>
      </c>
      <c r="B29" t="s">
        <v>86</v>
      </c>
      <c r="C29" t="s">
        <v>87</v>
      </c>
      <c r="D29" t="s">
        <v>88</v>
      </c>
      <c r="E29" t="s">
        <v>22</v>
      </c>
      <c r="F29" t="s">
        <v>23</v>
      </c>
      <c r="G29" t="s">
        <v>19</v>
      </c>
      <c r="H29">
        <v>6.39</v>
      </c>
      <c r="I29">
        <v>18.55</v>
      </c>
      <c r="J29">
        <v>17.72</v>
      </c>
      <c r="K29">
        <v>100</v>
      </c>
      <c r="L29" t="s">
        <v>24</v>
      </c>
      <c r="M29" t="s">
        <v>25</v>
      </c>
      <c r="N29">
        <v>1</v>
      </c>
      <c r="O29">
        <f t="shared" si="0"/>
        <v>5.7715311004784692E-2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2026-08-30T19:08:57Z</dcterms:created>
  <dcterms:modified xsi:type="dcterms:W3CDTF">2026-08-31T01:11:48Z</dcterms:modified>
</cp:coreProperties>
</file>