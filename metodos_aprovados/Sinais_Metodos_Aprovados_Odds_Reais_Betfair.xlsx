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7" documentId="11_5F4D0BC49A5AC2DFE54878D6425DCE3A874592BB" xr6:coauthVersionLast="47" xr6:coauthVersionMax="47" xr10:uidLastSave="{0B938978-B613-4DB0-89A1-08661EB1E073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2" i="1"/>
</calcChain>
</file>

<file path=xl/sharedStrings.xml><?xml version="1.0" encoding="utf-8"?>
<sst xmlns="http://schemas.openxmlformats.org/spreadsheetml/2006/main" count="1903" uniqueCount="621">
  <si>
    <t>Data</t>
  </si>
  <si>
    <t>Hora</t>
  </si>
  <si>
    <t>Liga</t>
  </si>
  <si>
    <t>Jogo</t>
  </si>
  <si>
    <t>Home</t>
  </si>
  <si>
    <t>Away</t>
  </si>
  <si>
    <t>Método</t>
  </si>
  <si>
    <t>Mercado</t>
  </si>
  <si>
    <t>Lado</t>
  </si>
  <si>
    <t>Odd_Entrada</t>
  </si>
  <si>
    <t>Odd_Fav</t>
  </si>
  <si>
    <t>Placar</t>
  </si>
  <si>
    <t>Resultado</t>
  </si>
  <si>
    <t>1/0</t>
  </si>
  <si>
    <t>15:00</t>
  </si>
  <si>
    <t>CZECH 1</t>
  </si>
  <si>
    <t>MFK Karvina x Zizkov</t>
  </si>
  <si>
    <t>MFK Karvina</t>
  </si>
  <si>
    <t>Zizkov</t>
  </si>
  <si>
    <t>Lay Draw (Fav &lt;= 1.40)</t>
  </si>
  <si>
    <t>Match Odds (Draw)</t>
  </si>
  <si>
    <t>LAY</t>
  </si>
  <si>
    <t>?</t>
  </si>
  <si>
    <t>GREEN</t>
  </si>
  <si>
    <t>SAUDI ARABIA 1</t>
  </si>
  <si>
    <t>Al Riyadh SC x Al Nassr</t>
  </si>
  <si>
    <t>Al Riyadh SC</t>
  </si>
  <si>
    <t>Al Nassr</t>
  </si>
  <si>
    <t>0x4</t>
  </si>
  <si>
    <t>BOSNIA 1</t>
  </si>
  <si>
    <t>Sarajevo x FK BSK Banja Luka</t>
  </si>
  <si>
    <t>Sarajevo</t>
  </si>
  <si>
    <t>FK BSK Banja Luka</t>
  </si>
  <si>
    <t>ICELAND 2</t>
  </si>
  <si>
    <t>Aegir x Afturelding</t>
  </si>
  <si>
    <t>Aegir</t>
  </si>
  <si>
    <t>Afturelding</t>
  </si>
  <si>
    <t>0x7</t>
  </si>
  <si>
    <t>WALES 1</t>
  </si>
  <si>
    <t>Cardiff Metropolitan x The New Saints</t>
  </si>
  <si>
    <t>Cardiff Metropolitan</t>
  </si>
  <si>
    <t>The New Saints</t>
  </si>
  <si>
    <t>0x5</t>
  </si>
  <si>
    <t>ENGLAND 1</t>
  </si>
  <si>
    <t>Arsenal x Coventry</t>
  </si>
  <si>
    <t>Arsenal</t>
  </si>
  <si>
    <t>Coventry</t>
  </si>
  <si>
    <t>ITALY 3</t>
  </si>
  <si>
    <t>Union Brescia x Carpi</t>
  </si>
  <si>
    <t>Union Brescia</t>
  </si>
  <si>
    <t>Carpi</t>
  </si>
  <si>
    <t>BOLIVIA 1</t>
  </si>
  <si>
    <t>The Strongest x Universitario de Vinto</t>
  </si>
  <si>
    <t>The Strongest</t>
  </si>
  <si>
    <t>Universitario de Vinto</t>
  </si>
  <si>
    <t>CROATIA 1</t>
  </si>
  <si>
    <t>Rudes x Lokomotiva</t>
  </si>
  <si>
    <t>Rudes</t>
  </si>
  <si>
    <t>Lokomotiva</t>
  </si>
  <si>
    <t>Lay Home / DC X2 (Fav Visitante &lt;= 1.65)</t>
  </si>
  <si>
    <t>Match Odds (Home)</t>
  </si>
  <si>
    <t>4x1</t>
  </si>
  <si>
    <t>RED</t>
  </si>
  <si>
    <t>TURKEY 1</t>
  </si>
  <si>
    <t>Erzurum BB x Galatasaray</t>
  </si>
  <si>
    <t>Erzurum BB</t>
  </si>
  <si>
    <t>Galatasaray</t>
  </si>
  <si>
    <t>IRELAND 2</t>
  </si>
  <si>
    <t>Treaty United x Cork City</t>
  </si>
  <si>
    <t>Treaty United</t>
  </si>
  <si>
    <t>Cork City</t>
  </si>
  <si>
    <t>2x2</t>
  </si>
  <si>
    <t>Hull x Man Utd</t>
  </si>
  <si>
    <t>Hull</t>
  </si>
  <si>
    <t>Man Utd</t>
  </si>
  <si>
    <t>2x0</t>
  </si>
  <si>
    <t>NETHERLANDS 2</t>
  </si>
  <si>
    <t>NAC Breda x Jong Ajax Amsterdam</t>
  </si>
  <si>
    <t>NAC Breda</t>
  </si>
  <si>
    <t>Jong Ajax Amsterdam</t>
  </si>
  <si>
    <t>SK Artis Brno x Sparta Prague</t>
  </si>
  <si>
    <t>SK Artis Brno</t>
  </si>
  <si>
    <t>Sparta Prague</t>
  </si>
  <si>
    <t>BULGARIA 1</t>
  </si>
  <si>
    <t>Ludogorets x Slavia Sofia</t>
  </si>
  <si>
    <t>Ludogorets</t>
  </si>
  <si>
    <t>Slavia Sofia</t>
  </si>
  <si>
    <t>PERU 1</t>
  </si>
  <si>
    <t>Sport Huancayo x Cesar Vallejo Moquegua</t>
  </si>
  <si>
    <t>Sport Huancayo</t>
  </si>
  <si>
    <t>Cesar Vallejo Moquegua</t>
  </si>
  <si>
    <t>ITALY 1</t>
  </si>
  <si>
    <t>Inter x AC Monza</t>
  </si>
  <si>
    <t>Inter</t>
  </si>
  <si>
    <t>AC Monza</t>
  </si>
  <si>
    <t>GREECE 1</t>
  </si>
  <si>
    <t>AEK Athens x Iraklis</t>
  </si>
  <si>
    <t>AEK Athens</t>
  </si>
  <si>
    <t>Iraklis</t>
  </si>
  <si>
    <t>Slavia Prague x Bohemians 1905</t>
  </si>
  <si>
    <t>Slavia Prague</t>
  </si>
  <si>
    <t>Bohemians 1905</t>
  </si>
  <si>
    <t>FRANCE 2</t>
  </si>
  <si>
    <t>St Etienne x Grenoble</t>
  </si>
  <si>
    <t>St Etienne</t>
  </si>
  <si>
    <t>Grenoble</t>
  </si>
  <si>
    <t>Al Ahli x Abha</t>
  </si>
  <si>
    <t>Al Ahli</t>
  </si>
  <si>
    <t>Abha</t>
  </si>
  <si>
    <t>PFC Levski Sofia x Spartak Varna</t>
  </si>
  <si>
    <t>PFC Levski Sofia</t>
  </si>
  <si>
    <t>Spartak Varna</t>
  </si>
  <si>
    <t>Olympiakos x Atromitos</t>
  </si>
  <si>
    <t>Olympiakos</t>
  </si>
  <si>
    <t>Atromitos</t>
  </si>
  <si>
    <t>Fenerbahce x Konyaspor</t>
  </si>
  <si>
    <t>Fenerbahce</t>
  </si>
  <si>
    <t>Konyaspor</t>
  </si>
  <si>
    <t>ECUADOR 1</t>
  </si>
  <si>
    <t>Univ Catolica (Ecu) x Manta FC</t>
  </si>
  <si>
    <t>Univ Catolica (Ecu)</t>
  </si>
  <si>
    <t>Manta FC</t>
  </si>
  <si>
    <t>PORTUGAL 1</t>
  </si>
  <si>
    <t>Sporting Lisbon x Alverca</t>
  </si>
  <si>
    <t>Sporting Lisbon</t>
  </si>
  <si>
    <t>Alverca</t>
  </si>
  <si>
    <t>USA 1</t>
  </si>
  <si>
    <t>Inter Miami CF x Toronto FC</t>
  </si>
  <si>
    <t>Inter Miami CF</t>
  </si>
  <si>
    <t>Toronto FC</t>
  </si>
  <si>
    <t>COLOMBIA 1</t>
  </si>
  <si>
    <t>Ind Medellin x Cucuta Deportivo</t>
  </si>
  <si>
    <t>Ind Medellin</t>
  </si>
  <si>
    <t>Cucuta Deportivo</t>
  </si>
  <si>
    <t>Vancouver Whitecaps x FC Dallas</t>
  </si>
  <si>
    <t>Vancouver Whitecaps</t>
  </si>
  <si>
    <t>FC Dallas</t>
  </si>
  <si>
    <t>SOUTH KOREA 2</t>
  </si>
  <si>
    <t>Cheonan City x Suwon Bluewings</t>
  </si>
  <si>
    <t>Cheonan City</t>
  </si>
  <si>
    <t>Suwon Bluewings</t>
  </si>
  <si>
    <t>0x1</t>
  </si>
  <si>
    <t>CHINA 1</t>
  </si>
  <si>
    <t>Meizhou Hakka x Guangdong GZ-Power FC</t>
  </si>
  <si>
    <t>Meizhou Hakka</t>
  </si>
  <si>
    <t>Guangdong GZ-Power FC</t>
  </si>
  <si>
    <t>1x5</t>
  </si>
  <si>
    <t>NETHERLANDS 1</t>
  </si>
  <si>
    <t>Fortuna Sittard x AZ Alkmaar</t>
  </si>
  <si>
    <t>Fortuna Sittard</t>
  </si>
  <si>
    <t>AZ Alkmaar</t>
  </si>
  <si>
    <t>0x2</t>
  </si>
  <si>
    <t>ESTONIA 1</t>
  </si>
  <si>
    <t>Harju JK Laagri x Nomme Kalju</t>
  </si>
  <si>
    <t>Harju JK Laagri</t>
  </si>
  <si>
    <t>Nomme Kalju</t>
  </si>
  <si>
    <t>1x0</t>
  </si>
  <si>
    <t>SPAIN 1</t>
  </si>
  <si>
    <t>Espanyol x Real Madrid</t>
  </si>
  <si>
    <t>Espanyol</t>
  </si>
  <si>
    <t>Real Madrid</t>
  </si>
  <si>
    <t>1x2</t>
  </si>
  <si>
    <t>VENEZUELA 1</t>
  </si>
  <si>
    <t>Rayo Zuliano x Deportivo La Guaira</t>
  </si>
  <si>
    <t>Rayo Zuliano</t>
  </si>
  <si>
    <t>Deportivo La Guaira</t>
  </si>
  <si>
    <t>1x4</t>
  </si>
  <si>
    <t>FC Guidonia Montecelio 1937 x Gubbio</t>
  </si>
  <si>
    <t>FC Guidonia Montecelio 1937</t>
  </si>
  <si>
    <t>Gubbio</t>
  </si>
  <si>
    <t>Lay Over 4.5 FT (Under Pesado)</t>
  </si>
  <si>
    <t>Over/Under 4.5 FT</t>
  </si>
  <si>
    <t>3x0</t>
  </si>
  <si>
    <t>EGYPT 1</t>
  </si>
  <si>
    <t>Al-Masry x Smouha</t>
  </si>
  <si>
    <t>Al-Masry</t>
  </si>
  <si>
    <t>Smouha</t>
  </si>
  <si>
    <t>Shanghai Port FC x Qingdao Hainiu</t>
  </si>
  <si>
    <t>Shanghai Port FC</t>
  </si>
  <si>
    <t>Qingdao Hainiu</t>
  </si>
  <si>
    <t>FINLAND 1</t>
  </si>
  <si>
    <t>KuPS x IFK Mariehamn</t>
  </si>
  <si>
    <t>KuPS</t>
  </si>
  <si>
    <t>IFK Mariehamn</t>
  </si>
  <si>
    <t>SWITZERLAND 1</t>
  </si>
  <si>
    <t>Young Boys x FC Vaduz</t>
  </si>
  <si>
    <t>Young Boys</t>
  </si>
  <si>
    <t>FC Vaduz</t>
  </si>
  <si>
    <t>PSV x FC Groningen</t>
  </si>
  <si>
    <t>PSV</t>
  </si>
  <si>
    <t>FC Groningen</t>
  </si>
  <si>
    <t>Cambuur Leeuwarden x Feyenoord</t>
  </si>
  <si>
    <t>Cambuur Leeuwarden</t>
  </si>
  <si>
    <t>Feyenoord</t>
  </si>
  <si>
    <t>2x5</t>
  </si>
  <si>
    <t>BELGIUM 1</t>
  </si>
  <si>
    <t>Club Brugge x Cercle Brugge</t>
  </si>
  <si>
    <t>Club Brugge</t>
  </si>
  <si>
    <t>Cercle Brugge</t>
  </si>
  <si>
    <t>Borac Banja Luka x Celik Zenica</t>
  </si>
  <si>
    <t>Borac Banja Luka</t>
  </si>
  <si>
    <t>Celik Zenica</t>
  </si>
  <si>
    <t>SERBIA 1</t>
  </si>
  <si>
    <t>Crvena Zvezda x Cukaricki</t>
  </si>
  <si>
    <t>Crvena Zvezda</t>
  </si>
  <si>
    <t>Cukaricki</t>
  </si>
  <si>
    <t>Zrinjski x Zeljeznicar</t>
  </si>
  <si>
    <t>Zrinjski</t>
  </si>
  <si>
    <t>Zeljeznicar</t>
  </si>
  <si>
    <t>ICELAND 1</t>
  </si>
  <si>
    <t>Vikingur Reykjavik x Valur</t>
  </si>
  <si>
    <t>Vikingur Reykjavik</t>
  </si>
  <si>
    <t>Valur</t>
  </si>
  <si>
    <t>Porto x Arouca</t>
  </si>
  <si>
    <t>Porto</t>
  </si>
  <si>
    <t>Arouca</t>
  </si>
  <si>
    <t>Elche x Barcelona</t>
  </si>
  <si>
    <t>Elche</t>
  </si>
  <si>
    <t>Barcelona</t>
  </si>
  <si>
    <t>Universitario de Deportes x CD Los Chankas</t>
  </si>
  <si>
    <t>Universitario de Deportes</t>
  </si>
  <si>
    <t>CD Los Chankas</t>
  </si>
  <si>
    <t>Septemvri x CSKA 1948 Sofia</t>
  </si>
  <si>
    <t>Septemvri</t>
  </si>
  <si>
    <t>CSKA 1948 Sofia</t>
  </si>
  <si>
    <t>Parnu JK Vaprus x Tallinna FC Flora</t>
  </si>
  <si>
    <t>Parnu JK Vaprus</t>
  </si>
  <si>
    <t>Tallinna FC Flora</t>
  </si>
  <si>
    <t>TURKEY 2</t>
  </si>
  <si>
    <t>Boluspor x Mardin Buyuksehir Belediyespor</t>
  </si>
  <si>
    <t>Boluspor</t>
  </si>
  <si>
    <t>Mardin Buyuksehir Belediyespor</t>
  </si>
  <si>
    <t>0x3</t>
  </si>
  <si>
    <t>Frosinone x Juventus</t>
  </si>
  <si>
    <t>Frosinone</t>
  </si>
  <si>
    <t>Juventus</t>
  </si>
  <si>
    <t>ISRAEL 1</t>
  </si>
  <si>
    <t>Hapoel Jerusalem x Maccabi Tel Aviv</t>
  </si>
  <si>
    <t>Hapoel Jerusalem</t>
  </si>
  <si>
    <t>Maccabi Tel Aviv</t>
  </si>
  <si>
    <t>FRANCE 1</t>
  </si>
  <si>
    <t>Rennes x Paris St-G</t>
  </si>
  <si>
    <t>Rennes</t>
  </si>
  <si>
    <t>Paris St-G</t>
  </si>
  <si>
    <t>CDT Real Oruro x Bolivar</t>
  </si>
  <si>
    <t>CDT Real Oruro</t>
  </si>
  <si>
    <t>Bolivar</t>
  </si>
  <si>
    <t>2x4</t>
  </si>
  <si>
    <t>Real Tomayapo x Always Ready</t>
  </si>
  <si>
    <t>Real Tomayapo</t>
  </si>
  <si>
    <t>Always Ready</t>
  </si>
  <si>
    <t>1x1</t>
  </si>
  <si>
    <t>COLOMBIA 2</t>
  </si>
  <si>
    <t>Quindio x Envigado</t>
  </si>
  <si>
    <t>Quindio</t>
  </si>
  <si>
    <t>Envigado</t>
  </si>
  <si>
    <t>PARAGUAY 1</t>
  </si>
  <si>
    <t>Libertad x Sportivo San Lorenzo</t>
  </si>
  <si>
    <t>Libertad</t>
  </si>
  <si>
    <t>Sportivo San Lorenzo</t>
  </si>
  <si>
    <t>Boyaca Patriotas x Atletico FC Cali</t>
  </si>
  <si>
    <t>Boyaca Patriotas</t>
  </si>
  <si>
    <t>Atletico FC Cali</t>
  </si>
  <si>
    <t>NEOM Sports Club x Al-Quadisiya (KSA)</t>
  </si>
  <si>
    <t>NEOM Sports Club</t>
  </si>
  <si>
    <t>Al-Quadisiya (KSA)</t>
  </si>
  <si>
    <t>Jong FC Utrecht x Heracles</t>
  </si>
  <si>
    <t>Jong FC Utrecht</t>
  </si>
  <si>
    <t>Heracles</t>
  </si>
  <si>
    <t>1x6</t>
  </si>
  <si>
    <t>SOUTH AFRICA 1</t>
  </si>
  <si>
    <t>Orlando Pirates (SA) x Sekhukhune United</t>
  </si>
  <si>
    <t>Orlando Pirates (SA)</t>
  </si>
  <si>
    <t>Sekhukhune United</t>
  </si>
  <si>
    <t>Al-Ettifaq x Al Nassr</t>
  </si>
  <si>
    <t>Al-Ettifaq</t>
  </si>
  <si>
    <t>2x3</t>
  </si>
  <si>
    <t>Afturelding x Grotta</t>
  </si>
  <si>
    <t>Grotta</t>
  </si>
  <si>
    <t>ENGLAND CUP</t>
  </si>
  <si>
    <t>Doncaster x Middlesbrough</t>
  </si>
  <si>
    <t>Doncaster</t>
  </si>
  <si>
    <t>Middlesbrough</t>
  </si>
  <si>
    <t>1x3</t>
  </si>
  <si>
    <t>Sheff Wed x Wolves</t>
  </si>
  <si>
    <t>Sheff Wed</t>
  </si>
  <si>
    <t>Wolves</t>
  </si>
  <si>
    <t>ARGENTINA 2</t>
  </si>
  <si>
    <t>Deportivo Madryn x Godoy Cruz</t>
  </si>
  <si>
    <t>Deportivo Madryn</t>
  </si>
  <si>
    <t>Godoy Cruz</t>
  </si>
  <si>
    <t>Santa Fe x Jaguares de Cordoba</t>
  </si>
  <si>
    <t>Santa Fe</t>
  </si>
  <si>
    <t>Jaguares de Cordoba</t>
  </si>
  <si>
    <t>PENDENTE</t>
  </si>
  <si>
    <t>NORWAY 2</t>
  </si>
  <si>
    <t>Stromsgodset x Hodd</t>
  </si>
  <si>
    <t>Stromsgodset</t>
  </si>
  <si>
    <t>Hodd</t>
  </si>
  <si>
    <t>Mamelodi Sundowns x AmaZulu</t>
  </si>
  <si>
    <t>Mamelodi Sundowns</t>
  </si>
  <si>
    <t>AmaZulu</t>
  </si>
  <si>
    <t>Newcastle x West Brom</t>
  </si>
  <si>
    <t>Newcastle</t>
  </si>
  <si>
    <t>West Brom</t>
  </si>
  <si>
    <t>Tottenham x Charlton</t>
  </si>
  <si>
    <t>Tottenham</t>
  </si>
  <si>
    <t>Charlton</t>
  </si>
  <si>
    <t>Real Madrid x Real Sociedad</t>
  </si>
  <si>
    <t>Real Sociedad</t>
  </si>
  <si>
    <t>Real Potosi x Real Tomayapo</t>
  </si>
  <si>
    <t>Real Potosi</t>
  </si>
  <si>
    <t>CA Colegiales x FC Midland</t>
  </si>
  <si>
    <t>CA Colegiales</t>
  </si>
  <si>
    <t>FC Midland</t>
  </si>
  <si>
    <t>Blooming Santa Cruz x CDT Real Oruro</t>
  </si>
  <si>
    <t>Blooming Santa Cruz</t>
  </si>
  <si>
    <t>COPA SUDAMERICANA</t>
  </si>
  <si>
    <t>River Plate x Santa Fe</t>
  </si>
  <si>
    <t>River Plate</t>
  </si>
  <si>
    <t>Preston x Everton</t>
  </si>
  <si>
    <t>Preston</t>
  </si>
  <si>
    <t>Everton</t>
  </si>
  <si>
    <t>Patronato x CA Atlanta</t>
  </si>
  <si>
    <t>Patronato</t>
  </si>
  <si>
    <t>CA Atlanta</t>
  </si>
  <si>
    <t>EUROPA CONFERENCE LEAGUE</t>
  </si>
  <si>
    <t>Freiburg x Motherwell</t>
  </si>
  <si>
    <t>Freiburg</t>
  </si>
  <si>
    <t>Motherwell</t>
  </si>
  <si>
    <t>FC Copenhagen x FC Inter Turku</t>
  </si>
  <si>
    <t>FC Copenhagen</t>
  </si>
  <si>
    <t>FC Inter Turku</t>
  </si>
  <si>
    <t>Pafos FC x Dinamo Tirana</t>
  </si>
  <si>
    <t>Pafos FC</t>
  </si>
  <si>
    <t>Dinamo Tirana</t>
  </si>
  <si>
    <t>EUROPA LEAGUE</t>
  </si>
  <si>
    <t>FK Kauno Zalgiris x Besiktas</t>
  </si>
  <si>
    <t>FK Kauno Zalgiris</t>
  </si>
  <si>
    <t>Besiktas</t>
  </si>
  <si>
    <t>Red Bull Salzburg x Mjallby</t>
  </si>
  <si>
    <t>Red Bull Salzburg</t>
  </si>
  <si>
    <t>Mjallby</t>
  </si>
  <si>
    <t>Ajax x Sion</t>
  </si>
  <si>
    <t>Ajax</t>
  </si>
  <si>
    <t>Sion</t>
  </si>
  <si>
    <t>Chelsea x Luton</t>
  </si>
  <si>
    <t>Chelsea</t>
  </si>
  <si>
    <t>Luton</t>
  </si>
  <si>
    <t>Brighton x Tromso</t>
  </si>
  <si>
    <t>Brighton</t>
  </si>
  <si>
    <t>Tromso</t>
  </si>
  <si>
    <t>Anderlecht x Kairat Almaty</t>
  </si>
  <si>
    <t>Anderlecht</t>
  </si>
  <si>
    <t>Kairat Almaty</t>
  </si>
  <si>
    <t>Always Ready x Aurora</t>
  </si>
  <si>
    <t>Aurora</t>
  </si>
  <si>
    <t>Fulham x AFC Wimbledon</t>
  </si>
  <si>
    <t>Fulham</t>
  </si>
  <si>
    <t>AFC Wimbledon</t>
  </si>
  <si>
    <t>Barcelona x Athletic Bilbao</t>
  </si>
  <si>
    <t>Athletic Bilbao</t>
  </si>
  <si>
    <t>Hapoel Tel Aviv x Atalanta</t>
  </si>
  <si>
    <t>Hapoel Tel Aviv</t>
  </si>
  <si>
    <t>Atalanta</t>
  </si>
  <si>
    <t>AGF x Benfica</t>
  </si>
  <si>
    <t>AGF</t>
  </si>
  <si>
    <t>Benfica</t>
  </si>
  <si>
    <t>PARAGUAY CUP</t>
  </si>
  <si>
    <t>Resistencia SC x Cerro Porteno</t>
  </si>
  <si>
    <t>Resistencia SC</t>
  </si>
  <si>
    <t>Cerro Porteno</t>
  </si>
  <si>
    <t>ARGENTINA CUP</t>
  </si>
  <si>
    <t>CA Platense x Instituto</t>
  </si>
  <si>
    <t>CA Platense</t>
  </si>
  <si>
    <t>Instituto</t>
  </si>
  <si>
    <t>Al-Khaleej Saihat x Al-Hilal</t>
  </si>
  <si>
    <t>Al-Khaleej Saihat</t>
  </si>
  <si>
    <t>Al-Hilal</t>
  </si>
  <si>
    <t>Al Nassr x Al-Taawoun Buraidah</t>
  </si>
  <si>
    <t>Al-Taawoun Buraidah</t>
  </si>
  <si>
    <t>GERMANY 1</t>
  </si>
  <si>
    <t>Bayern Munich x Stuttgart</t>
  </si>
  <si>
    <t>Bayern Munich</t>
  </si>
  <si>
    <t>Stuttgart</t>
  </si>
  <si>
    <t>Cork City x Wexford F.C</t>
  </si>
  <si>
    <t>Wexford F.C</t>
  </si>
  <si>
    <t>UCD x Finn Harps</t>
  </si>
  <si>
    <t>UCD</t>
  </si>
  <si>
    <t>Finn Harps</t>
  </si>
  <si>
    <t>IRELAND 1</t>
  </si>
  <si>
    <t>Bohemians x Sligo Rovers</t>
  </si>
  <si>
    <t>Bohemians</t>
  </si>
  <si>
    <t>Sligo Rovers</t>
  </si>
  <si>
    <t>St Patricks x Waterford</t>
  </si>
  <si>
    <t>St Patricks</t>
  </si>
  <si>
    <t>Waterford</t>
  </si>
  <si>
    <t>Holywell Town x Caernarfon Town</t>
  </si>
  <si>
    <t>Holywell Town</t>
  </si>
  <si>
    <t>Caernarfon Town</t>
  </si>
  <si>
    <t>3x5</t>
  </si>
  <si>
    <t>The New Saints x Colwyn Bay</t>
  </si>
  <si>
    <t>Colwyn Bay</t>
  </si>
  <si>
    <t>Fylkir x Grotta</t>
  </si>
  <si>
    <t>Fylkir</t>
  </si>
  <si>
    <t>Rio Ave x Sporting Lisbon</t>
  </si>
  <si>
    <t>Rio Ave</t>
  </si>
  <si>
    <t>Ansan Greeners FC x Daegu Fc</t>
  </si>
  <si>
    <t>Ansan Greeners FC</t>
  </si>
  <si>
    <t>Daegu Fc</t>
  </si>
  <si>
    <t>Al-Anwar Club x Al-Ula FC</t>
  </si>
  <si>
    <t>Al-Anwar Club</t>
  </si>
  <si>
    <t>Al-Ula FC</t>
  </si>
  <si>
    <t>Al Ittihad (EGY) x Ceramica Cleopatra</t>
  </si>
  <si>
    <t>Al Ittihad (EGY)</t>
  </si>
  <si>
    <t>Ceramica Cleopatra</t>
  </si>
  <si>
    <t>ROMANIA 2</t>
  </si>
  <si>
    <t>Bihor Oradea x CSL Stefanestii de Jos</t>
  </si>
  <si>
    <t>Bihor Oradea</t>
  </si>
  <si>
    <t>CSL Stefanestii de Jos</t>
  </si>
  <si>
    <t>Chengdu Rongcheng x Liaoning Tieren FC</t>
  </si>
  <si>
    <t>Chengdu Rongcheng</t>
  </si>
  <si>
    <t>Liaoning Tieren FC</t>
  </si>
  <si>
    <t>2x1</t>
  </si>
  <si>
    <t>Afturelding x IF Vestri</t>
  </si>
  <si>
    <t>IF Vestri</t>
  </si>
  <si>
    <t>SCOTLAND 2</t>
  </si>
  <si>
    <t>Partick x Queens Park</t>
  </si>
  <si>
    <t>Partick</t>
  </si>
  <si>
    <t>Queens Park</t>
  </si>
  <si>
    <t>0x0</t>
  </si>
  <si>
    <t>SCOTLAND 1</t>
  </si>
  <si>
    <t>Celtic x Falkirk</t>
  </si>
  <si>
    <t>Celtic</t>
  </si>
  <si>
    <t>Falkirk</t>
  </si>
  <si>
    <t>3x1</t>
  </si>
  <si>
    <t>AZ Alkmaar x Go Ahead Eagles</t>
  </si>
  <si>
    <t>Go Ahead Eagles</t>
  </si>
  <si>
    <t>5x2</t>
  </si>
  <si>
    <t>Academico de Viseu x Porto</t>
  </si>
  <si>
    <t>Academico de Viseu</t>
  </si>
  <si>
    <t>Galatasaray x Goztepe</t>
  </si>
  <si>
    <t>Goztepe</t>
  </si>
  <si>
    <t>Juventus x Parma</t>
  </si>
  <si>
    <t>Parma</t>
  </si>
  <si>
    <t>Varazdin x Rudes</t>
  </si>
  <si>
    <t>Varazdin</t>
  </si>
  <si>
    <t>Real Cartagena x Tigres FC Zipaquira</t>
  </si>
  <si>
    <t>Real Cartagena</t>
  </si>
  <si>
    <t>Tigres FC Zipaquira</t>
  </si>
  <si>
    <t>Alianza Lima x Deportivo Garcilaso</t>
  </si>
  <si>
    <t>Alianza Lima</t>
  </si>
  <si>
    <t>Deportivo Garcilaso</t>
  </si>
  <si>
    <t>3x4</t>
  </si>
  <si>
    <t>JAPAN 1</t>
  </si>
  <si>
    <t>Nagasaki x FC Tokyo</t>
  </si>
  <si>
    <t>Nagasaki</t>
  </si>
  <si>
    <t>FC Tokyo</t>
  </si>
  <si>
    <t>Elversberg x Leverkusen</t>
  </si>
  <si>
    <t>Elversberg</t>
  </si>
  <si>
    <t>Leverkusen</t>
  </si>
  <si>
    <t>Al-Kholood Club x Al Ahli</t>
  </si>
  <si>
    <t>Al-Kholood Club</t>
  </si>
  <si>
    <t>NK Istra x Dinamo Zagreb</t>
  </si>
  <si>
    <t>NK Istra</t>
  </si>
  <si>
    <t>Dinamo Zagreb</t>
  </si>
  <si>
    <t>Hapoel Ramat Gan x Hapoel Be'er Sheva</t>
  </si>
  <si>
    <t>Hapoel Ramat Gan</t>
  </si>
  <si>
    <t>Hapoel Be'er Sheva</t>
  </si>
  <si>
    <t>Kansas City x Vancouver Whitecaps</t>
  </si>
  <si>
    <t>Kansas City</t>
  </si>
  <si>
    <t>JAPAN 2</t>
  </si>
  <si>
    <t>Tokushima x Oita</t>
  </si>
  <si>
    <t>Tokushima</t>
  </si>
  <si>
    <t>Oita</t>
  </si>
  <si>
    <t>Arsenal CL x FC Sellier</t>
  </si>
  <si>
    <t>Arsenal CL</t>
  </si>
  <si>
    <t>FC Sellier</t>
  </si>
  <si>
    <t>ARGENTINA 1</t>
  </si>
  <si>
    <t>Atl Tucuman x Belgrano</t>
  </si>
  <si>
    <t>Atl Tucuman</t>
  </si>
  <si>
    <t>Belgrano</t>
  </si>
  <si>
    <t>Guangdong GZ-Power FC x Changchun Yatai</t>
  </si>
  <si>
    <t>Changchun Yatai</t>
  </si>
  <si>
    <t>Feyenoord x ADO Den Haag</t>
  </si>
  <si>
    <t>ADO Den Haag</t>
  </si>
  <si>
    <t>NORWAY 1</t>
  </si>
  <si>
    <t>Bodo Glimt x Rosenborg</t>
  </si>
  <si>
    <t>Bodo Glimt</t>
  </si>
  <si>
    <t>Rosenborg</t>
  </si>
  <si>
    <t>Plzen x Slovacko</t>
  </si>
  <si>
    <t>Plzen</t>
  </si>
  <si>
    <t>Slovacko</t>
  </si>
  <si>
    <t>Viking x Aalesunds</t>
  </si>
  <si>
    <t>Viking</t>
  </si>
  <si>
    <t>Aalesunds</t>
  </si>
  <si>
    <t>SLOVAKIA 1</t>
  </si>
  <si>
    <t>Slovan Bratislava x Zemplin</t>
  </si>
  <si>
    <t>Slovan Bratislava</t>
  </si>
  <si>
    <t>Zemplin</t>
  </si>
  <si>
    <t>Man Utd x Ipswich</t>
  </si>
  <si>
    <t>Ipswich</t>
  </si>
  <si>
    <t>AUSTRIA 1</t>
  </si>
  <si>
    <t>Red Bull Salzburg x Austria Wien</t>
  </si>
  <si>
    <t>Austria Wien</t>
  </si>
  <si>
    <t>CYPRUS 1</t>
  </si>
  <si>
    <t>Karmiotissa Polemidion x Pafos FC</t>
  </si>
  <si>
    <t>Karmiotissa Polemidion</t>
  </si>
  <si>
    <t>Cambuur Leeuwarden x FC Twente</t>
  </si>
  <si>
    <t>FC Twente</t>
  </si>
  <si>
    <t>Kifisia x AEK Athens</t>
  </si>
  <si>
    <t>Kifisia</t>
  </si>
  <si>
    <t>Al-Quadisiya (KSA) x Al Faisaly ( KSA )</t>
  </si>
  <si>
    <t>Al Faisaly ( KSA )</t>
  </si>
  <si>
    <t>Radnik Bijeljina x Borac Banja Luka</t>
  </si>
  <si>
    <t>Radnik Bijeljina</t>
  </si>
  <si>
    <t>BRAZIL 1</t>
  </si>
  <si>
    <t>Flamengo x Botafogo FR</t>
  </si>
  <si>
    <t>Flamengo</t>
  </si>
  <si>
    <t>Botafogo FR</t>
  </si>
  <si>
    <t>BRAZIL 2</t>
  </si>
  <si>
    <t>America MG x Ponte Preta</t>
  </si>
  <si>
    <t>America MG</t>
  </si>
  <si>
    <t>Ponte Preta</t>
  </si>
  <si>
    <t>Carabobo FC x Zamora FC</t>
  </si>
  <si>
    <t>Carabobo FC</t>
  </si>
  <si>
    <t>Zamora FC</t>
  </si>
  <si>
    <t>MEXICO 1</t>
  </si>
  <si>
    <t>Toluca x FC Juarez</t>
  </si>
  <si>
    <t>Toluca</t>
  </si>
  <si>
    <t>FC Juarez</t>
  </si>
  <si>
    <t>FC Utrecht x PSV</t>
  </si>
  <si>
    <t>FC Utrecht</t>
  </si>
  <si>
    <t>SOUTH KOREA 1</t>
  </si>
  <si>
    <t>Gwangju FC x FC Seoul</t>
  </si>
  <si>
    <t>Gwangju FC</t>
  </si>
  <si>
    <t>FC Seoul</t>
  </si>
  <si>
    <t>Nomme Kalju x Fci Tallinn</t>
  </si>
  <si>
    <t>Fci Tallinn</t>
  </si>
  <si>
    <t>DENMARK 1</t>
  </si>
  <si>
    <t>Silkeborg x Midtjylland</t>
  </si>
  <si>
    <t>Silkeborg</t>
  </si>
  <si>
    <t>Midtjylland</t>
  </si>
  <si>
    <t>SWEDEN 1</t>
  </si>
  <si>
    <t>AIK x Hammarby</t>
  </si>
  <si>
    <t>AIK</t>
  </si>
  <si>
    <t>Hammarby</t>
  </si>
  <si>
    <t>SC Telstar x Ajax</t>
  </si>
  <si>
    <t>SC Telstar</t>
  </si>
  <si>
    <t>Hodd x Stabaek</t>
  </si>
  <si>
    <t>Stabaek</t>
  </si>
  <si>
    <t>Sogndal x Stromsgodset</t>
  </si>
  <si>
    <t>Sogndal</t>
  </si>
  <si>
    <t>Botev Plovdiv x PFC Levski Sofia</t>
  </si>
  <si>
    <t>Botev Plovdiv</t>
  </si>
  <si>
    <t>Spartak Varna x Ludogorets</t>
  </si>
  <si>
    <t>Atromitos x PAOK</t>
  </si>
  <si>
    <t>PAOK</t>
  </si>
  <si>
    <t>Banfield x River Plate</t>
  </si>
  <si>
    <t>Banfield</t>
  </si>
  <si>
    <t>Asteras Tripolis x Olympiakos</t>
  </si>
  <si>
    <t>Asteras Tripolis</t>
  </si>
  <si>
    <t>SLOVENIA 1</t>
  </si>
  <si>
    <t>Nafta Lendava x NK Maribor</t>
  </si>
  <si>
    <t>Nafta Lendava</t>
  </si>
  <si>
    <t>NK Maribor</t>
  </si>
  <si>
    <t>Samsunspor x Fenerbahce</t>
  </si>
  <si>
    <t>Samsunspor</t>
  </si>
  <si>
    <t>Cagliari x Inter</t>
  </si>
  <si>
    <t>Cagliari</t>
  </si>
  <si>
    <t>Omonia x Omonia FC Aradippou</t>
  </si>
  <si>
    <t>Omonia</t>
  </si>
  <si>
    <t>Omonia FC Aradippou</t>
  </si>
  <si>
    <t>FC Copenhagen x SonderjyskE</t>
  </si>
  <si>
    <t>SonderjyskE</t>
  </si>
  <si>
    <t>Puerto Cabello x Academia Anzoategui FC</t>
  </si>
  <si>
    <t>Puerto Cabello</t>
  </si>
  <si>
    <t>Academia Anzoategui FC</t>
  </si>
  <si>
    <t>Flint Town United x Connahs Quay</t>
  </si>
  <si>
    <t>Flint Town United</t>
  </si>
  <si>
    <t>Connahs Quay</t>
  </si>
  <si>
    <t>Asyut Petroleum x National Bank</t>
  </si>
  <si>
    <t>Asyut Petroleum</t>
  </si>
  <si>
    <t>National Bank</t>
  </si>
  <si>
    <t>ENGLAND 5</t>
  </si>
  <si>
    <t>Worthing x Boreham Wood</t>
  </si>
  <si>
    <t>Worthing</t>
  </si>
  <si>
    <t>Boreham Wood</t>
  </si>
  <si>
    <t>Levadiakos x Panathinaikos</t>
  </si>
  <si>
    <t>Levadiakos</t>
  </si>
  <si>
    <t>Panathinaikos</t>
  </si>
  <si>
    <t>Lecce x Roma</t>
  </si>
  <si>
    <t>Lecce</t>
  </si>
  <si>
    <t>Roma</t>
  </si>
  <si>
    <t>Aston Villa x Arsenal</t>
  </si>
  <si>
    <t>Aston Villa</t>
  </si>
  <si>
    <t>Los Andes x Acassuso</t>
  </si>
  <si>
    <t>Los Andes</t>
  </si>
  <si>
    <t>Acassuso</t>
  </si>
  <si>
    <t>Kruger United FC x Orlando Pirates (SA)</t>
  </si>
  <si>
    <t>Kruger United FC</t>
  </si>
  <si>
    <t>Zrinjski x FK BSK Banja Luka</t>
  </si>
  <si>
    <t>Boluspor x Keciorengucu</t>
  </si>
  <si>
    <t>Keciorengucu</t>
  </si>
  <si>
    <t>RZ Pellets WAC x Lask Linz</t>
  </si>
  <si>
    <t>RZ Pellets WAC</t>
  </si>
  <si>
    <t>Lask Linz</t>
  </si>
  <si>
    <t>FC Zurich x Young Boys</t>
  </si>
  <si>
    <t>FC Zurich</t>
  </si>
  <si>
    <t>Mamelodi Sundowns x Milford</t>
  </si>
  <si>
    <t>Milford</t>
  </si>
  <si>
    <t>Borac Banja Luka x Zeljeznicar</t>
  </si>
  <si>
    <t>Celtic x Aberdeen</t>
  </si>
  <si>
    <t>Aberdeen</t>
  </si>
  <si>
    <t>Flamengo x Mirassol</t>
  </si>
  <si>
    <t>Mirassol</t>
  </si>
  <si>
    <t>Slavia Sofia x PFC Levski Sofia</t>
  </si>
  <si>
    <t>NK Aluminij x NK Celje</t>
  </si>
  <si>
    <t>NK Aluminij</t>
  </si>
  <si>
    <t>NK Celje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</si>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</sst>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0"/>
  <sheetViews>
    <sheetView tabSelected="1" workbookViewId="0">
      <selection activeCell="S10" sqref="S10"/>
    </sheetView>
  </sheetViews>
  <sheetFormatPr defaultRowHeight="14.4" x14ac:dyDescent="0.3"/>
  <cols>
    <col min="10" max="10" width="13.2187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620</v>
      </c>
      <c r="P1" s="1"/>
    </row>
    <row r="2" spans="1:16" x14ac:dyDescent="0.3">
      <c r="A2" s="2">
        <v>46255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>
        <v>6.2</v>
      </c>
      <c r="K2">
        <v>1.38</v>
      </c>
      <c r="L2" t="s">
        <v>22</v>
      </c>
      <c r="M2" t="s">
        <v>23</v>
      </c>
      <c r="N2">
        <v>1</v>
      </c>
      <c r="O2">
        <f>IF(N2=1,0.965/(J2-1),-1)</f>
        <v>0.18557692307692306</v>
      </c>
    </row>
    <row r="3" spans="1:16" x14ac:dyDescent="0.3">
      <c r="A3" s="2">
        <v>46255</v>
      </c>
      <c r="B3" t="s">
        <v>14</v>
      </c>
      <c r="C3" t="s">
        <v>24</v>
      </c>
      <c r="D3" t="s">
        <v>25</v>
      </c>
      <c r="E3" t="s">
        <v>26</v>
      </c>
      <c r="F3" t="s">
        <v>27</v>
      </c>
      <c r="G3" t="s">
        <v>19</v>
      </c>
      <c r="H3" t="s">
        <v>20</v>
      </c>
      <c r="I3" t="s">
        <v>21</v>
      </c>
      <c r="J3">
        <v>7.4</v>
      </c>
      <c r="K3">
        <v>11.5</v>
      </c>
      <c r="L3" t="s">
        <v>28</v>
      </c>
      <c r="M3" t="s">
        <v>23</v>
      </c>
      <c r="N3">
        <v>1</v>
      </c>
      <c r="O3">
        <f t="shared" ref="O3:O66" si="0">IF(N3=1,0.965/(J3-1),-1)</f>
        <v>0.15078124999999998</v>
      </c>
    </row>
    <row r="4" spans="1:16" x14ac:dyDescent="0.3">
      <c r="A4" s="2">
        <v>46255</v>
      </c>
      <c r="B4" t="s">
        <v>14</v>
      </c>
      <c r="C4" t="s">
        <v>29</v>
      </c>
      <c r="D4" t="s">
        <v>30</v>
      </c>
      <c r="E4" t="s">
        <v>31</v>
      </c>
      <c r="F4" t="s">
        <v>32</v>
      </c>
      <c r="G4" t="s">
        <v>19</v>
      </c>
      <c r="H4" t="s">
        <v>20</v>
      </c>
      <c r="I4" t="s">
        <v>21</v>
      </c>
      <c r="J4">
        <v>6.2</v>
      </c>
      <c r="K4">
        <v>1.32</v>
      </c>
      <c r="L4" t="s">
        <v>22</v>
      </c>
      <c r="M4" t="s">
        <v>23</v>
      </c>
      <c r="N4">
        <v>1</v>
      </c>
      <c r="O4">
        <f t="shared" si="0"/>
        <v>0.18557692307692306</v>
      </c>
    </row>
    <row r="5" spans="1:16" x14ac:dyDescent="0.3">
      <c r="A5" s="2">
        <v>46255</v>
      </c>
      <c r="B5" t="s">
        <v>14</v>
      </c>
      <c r="C5" t="s">
        <v>33</v>
      </c>
      <c r="D5" t="s">
        <v>34</v>
      </c>
      <c r="E5" t="s">
        <v>35</v>
      </c>
      <c r="F5" t="s">
        <v>36</v>
      </c>
      <c r="G5" t="s">
        <v>19</v>
      </c>
      <c r="H5" t="s">
        <v>20</v>
      </c>
      <c r="I5" t="s">
        <v>21</v>
      </c>
      <c r="J5">
        <v>8</v>
      </c>
      <c r="K5">
        <v>10.5</v>
      </c>
      <c r="L5" t="s">
        <v>37</v>
      </c>
      <c r="M5" t="s">
        <v>23</v>
      </c>
      <c r="N5">
        <v>1</v>
      </c>
      <c r="O5">
        <f t="shared" si="0"/>
        <v>0.13785714285714284</v>
      </c>
    </row>
    <row r="6" spans="1:16" x14ac:dyDescent="0.3">
      <c r="A6" s="2">
        <v>46255</v>
      </c>
      <c r="B6" t="s">
        <v>14</v>
      </c>
      <c r="C6" t="s">
        <v>38</v>
      </c>
      <c r="D6" t="s">
        <v>39</v>
      </c>
      <c r="E6" t="s">
        <v>40</v>
      </c>
      <c r="F6" t="s">
        <v>41</v>
      </c>
      <c r="G6" t="s">
        <v>19</v>
      </c>
      <c r="H6" t="s">
        <v>20</v>
      </c>
      <c r="I6" t="s">
        <v>21</v>
      </c>
      <c r="J6">
        <v>5.8</v>
      </c>
      <c r="K6">
        <v>9.4</v>
      </c>
      <c r="L6" t="s">
        <v>42</v>
      </c>
      <c r="M6" t="s">
        <v>23</v>
      </c>
      <c r="N6">
        <v>1</v>
      </c>
      <c r="O6">
        <f t="shared" si="0"/>
        <v>0.20104166666666667</v>
      </c>
    </row>
    <row r="7" spans="1:16" x14ac:dyDescent="0.3">
      <c r="A7" s="2">
        <v>46255</v>
      </c>
      <c r="B7" t="s">
        <v>14</v>
      </c>
      <c r="C7" t="s">
        <v>43</v>
      </c>
      <c r="D7" t="s">
        <v>44</v>
      </c>
      <c r="E7" t="s">
        <v>45</v>
      </c>
      <c r="F7" t="s">
        <v>46</v>
      </c>
      <c r="G7" t="s">
        <v>19</v>
      </c>
      <c r="H7" t="s">
        <v>20</v>
      </c>
      <c r="I7" t="s">
        <v>21</v>
      </c>
      <c r="J7">
        <v>7.8</v>
      </c>
      <c r="K7">
        <v>1.22</v>
      </c>
      <c r="L7" t="s">
        <v>22</v>
      </c>
      <c r="M7" t="s">
        <v>23</v>
      </c>
      <c r="N7">
        <v>1</v>
      </c>
      <c r="O7">
        <f t="shared" si="0"/>
        <v>0.14191176470588235</v>
      </c>
    </row>
    <row r="8" spans="1:16" x14ac:dyDescent="0.3">
      <c r="A8" s="2">
        <v>46255</v>
      </c>
      <c r="B8" t="s">
        <v>14</v>
      </c>
      <c r="C8" t="s">
        <v>47</v>
      </c>
      <c r="D8" t="s">
        <v>48</v>
      </c>
      <c r="E8" t="s">
        <v>49</v>
      </c>
      <c r="F8" t="s">
        <v>50</v>
      </c>
      <c r="G8" t="s">
        <v>19</v>
      </c>
      <c r="H8" t="s">
        <v>20</v>
      </c>
      <c r="I8" t="s">
        <v>21</v>
      </c>
      <c r="J8">
        <v>5.5</v>
      </c>
      <c r="K8">
        <v>1.36</v>
      </c>
      <c r="L8" t="s">
        <v>22</v>
      </c>
      <c r="M8" t="s">
        <v>23</v>
      </c>
      <c r="N8">
        <v>1</v>
      </c>
      <c r="O8">
        <f t="shared" si="0"/>
        <v>0.21444444444444444</v>
      </c>
    </row>
    <row r="9" spans="1:16" x14ac:dyDescent="0.3">
      <c r="A9" s="2">
        <v>46255</v>
      </c>
      <c r="B9" t="s">
        <v>14</v>
      </c>
      <c r="C9" t="s">
        <v>51</v>
      </c>
      <c r="D9" t="s">
        <v>52</v>
      </c>
      <c r="E9" t="s">
        <v>53</v>
      </c>
      <c r="F9" t="s">
        <v>54</v>
      </c>
      <c r="G9" t="s">
        <v>19</v>
      </c>
      <c r="H9" t="s">
        <v>20</v>
      </c>
      <c r="I9" t="s">
        <v>21</v>
      </c>
      <c r="J9">
        <v>6</v>
      </c>
      <c r="K9">
        <v>1.4</v>
      </c>
      <c r="L9" t="s">
        <v>22</v>
      </c>
      <c r="M9" t="s">
        <v>23</v>
      </c>
      <c r="N9">
        <v>1</v>
      </c>
      <c r="O9">
        <f t="shared" si="0"/>
        <v>0.193</v>
      </c>
    </row>
    <row r="10" spans="1:16" x14ac:dyDescent="0.3">
      <c r="A10" s="2">
        <v>46255</v>
      </c>
      <c r="B10" t="s">
        <v>14</v>
      </c>
      <c r="C10" t="s">
        <v>55</v>
      </c>
      <c r="D10" t="s">
        <v>56</v>
      </c>
      <c r="E10" t="s">
        <v>57</v>
      </c>
      <c r="F10" t="s">
        <v>58</v>
      </c>
      <c r="G10" t="s">
        <v>59</v>
      </c>
      <c r="H10" t="s">
        <v>60</v>
      </c>
      <c r="I10" t="s">
        <v>21</v>
      </c>
      <c r="J10">
        <v>6.8</v>
      </c>
      <c r="K10">
        <v>1.61</v>
      </c>
      <c r="L10" t="s">
        <v>61</v>
      </c>
      <c r="M10" t="s">
        <v>62</v>
      </c>
      <c r="N10">
        <v>0</v>
      </c>
      <c r="O10">
        <f t="shared" si="0"/>
        <v>-1</v>
      </c>
    </row>
    <row r="11" spans="1:16" x14ac:dyDescent="0.3">
      <c r="A11" s="2">
        <v>46255</v>
      </c>
      <c r="B11" t="s">
        <v>14</v>
      </c>
      <c r="C11" t="s">
        <v>63</v>
      </c>
      <c r="D11" t="s">
        <v>64</v>
      </c>
      <c r="E11" t="s">
        <v>65</v>
      </c>
      <c r="F11" t="s">
        <v>66</v>
      </c>
      <c r="G11" t="s">
        <v>59</v>
      </c>
      <c r="H11" t="s">
        <v>60</v>
      </c>
      <c r="I11" t="s">
        <v>21</v>
      </c>
      <c r="J11">
        <v>7.4</v>
      </c>
      <c r="K11">
        <v>1.56</v>
      </c>
      <c r="L11" t="s">
        <v>28</v>
      </c>
      <c r="M11" t="s">
        <v>23</v>
      </c>
      <c r="N11">
        <v>1</v>
      </c>
      <c r="O11">
        <f t="shared" si="0"/>
        <v>0.15078124999999998</v>
      </c>
    </row>
    <row r="12" spans="1:16" x14ac:dyDescent="0.3">
      <c r="A12" s="2">
        <v>46255</v>
      </c>
      <c r="B12" t="s">
        <v>14</v>
      </c>
      <c r="C12" t="s">
        <v>67</v>
      </c>
      <c r="D12" t="s">
        <v>68</v>
      </c>
      <c r="E12" t="s">
        <v>69</v>
      </c>
      <c r="F12" t="s">
        <v>70</v>
      </c>
      <c r="G12" t="s">
        <v>59</v>
      </c>
      <c r="H12" t="s">
        <v>60</v>
      </c>
      <c r="I12" t="s">
        <v>21</v>
      </c>
      <c r="J12">
        <v>8</v>
      </c>
      <c r="K12">
        <v>1.53</v>
      </c>
      <c r="L12" t="s">
        <v>71</v>
      </c>
      <c r="M12" t="s">
        <v>23</v>
      </c>
      <c r="N12">
        <v>1</v>
      </c>
      <c r="O12">
        <f t="shared" si="0"/>
        <v>0.13785714285714284</v>
      </c>
    </row>
    <row r="13" spans="1:16" x14ac:dyDescent="0.3">
      <c r="A13" s="2">
        <v>46256</v>
      </c>
      <c r="B13" t="s">
        <v>14</v>
      </c>
      <c r="C13" t="s">
        <v>43</v>
      </c>
      <c r="D13" t="s">
        <v>72</v>
      </c>
      <c r="E13" t="s">
        <v>73</v>
      </c>
      <c r="F13" t="s">
        <v>74</v>
      </c>
      <c r="G13" t="s">
        <v>19</v>
      </c>
      <c r="H13" t="s">
        <v>20</v>
      </c>
      <c r="I13" t="s">
        <v>21</v>
      </c>
      <c r="J13">
        <v>5.7</v>
      </c>
      <c r="K13">
        <v>10</v>
      </c>
      <c r="L13" t="s">
        <v>75</v>
      </c>
      <c r="M13" t="s">
        <v>23</v>
      </c>
      <c r="N13">
        <v>1</v>
      </c>
      <c r="O13">
        <f t="shared" si="0"/>
        <v>0.2053191489361702</v>
      </c>
    </row>
    <row r="14" spans="1:16" x14ac:dyDescent="0.3">
      <c r="A14" s="2">
        <v>46256</v>
      </c>
      <c r="B14" t="s">
        <v>14</v>
      </c>
      <c r="C14" t="s">
        <v>76</v>
      </c>
      <c r="D14" t="s">
        <v>77</v>
      </c>
      <c r="E14" t="s">
        <v>78</v>
      </c>
      <c r="F14" t="s">
        <v>79</v>
      </c>
      <c r="G14" t="s">
        <v>19</v>
      </c>
      <c r="H14" t="s">
        <v>20</v>
      </c>
      <c r="I14" t="s">
        <v>21</v>
      </c>
      <c r="J14">
        <v>7.2</v>
      </c>
      <c r="K14">
        <v>1.29</v>
      </c>
      <c r="L14" t="s">
        <v>22</v>
      </c>
      <c r="M14" t="s">
        <v>23</v>
      </c>
      <c r="N14">
        <v>1</v>
      </c>
      <c r="O14">
        <f t="shared" si="0"/>
        <v>0.15564516129032258</v>
      </c>
    </row>
    <row r="15" spans="1:16" x14ac:dyDescent="0.3">
      <c r="A15" s="2">
        <v>46256</v>
      </c>
      <c r="B15" t="s">
        <v>14</v>
      </c>
      <c r="C15" t="s">
        <v>15</v>
      </c>
      <c r="D15" t="s">
        <v>80</v>
      </c>
      <c r="E15" t="s">
        <v>81</v>
      </c>
      <c r="F15" t="s">
        <v>82</v>
      </c>
      <c r="G15" t="s">
        <v>19</v>
      </c>
      <c r="H15" t="s">
        <v>20</v>
      </c>
      <c r="I15" t="s">
        <v>21</v>
      </c>
      <c r="J15">
        <v>5.8</v>
      </c>
      <c r="K15">
        <v>8.6</v>
      </c>
      <c r="L15" t="s">
        <v>28</v>
      </c>
      <c r="M15" t="s">
        <v>23</v>
      </c>
      <c r="N15">
        <v>1</v>
      </c>
      <c r="O15">
        <f t="shared" si="0"/>
        <v>0.20104166666666667</v>
      </c>
    </row>
    <row r="16" spans="1:16" x14ac:dyDescent="0.3">
      <c r="A16" s="2">
        <v>46256</v>
      </c>
      <c r="B16" t="s">
        <v>14</v>
      </c>
      <c r="C16" t="s">
        <v>83</v>
      </c>
      <c r="D16" t="s">
        <v>84</v>
      </c>
      <c r="E16" t="s">
        <v>85</v>
      </c>
      <c r="F16" t="s">
        <v>86</v>
      </c>
      <c r="G16" t="s">
        <v>19</v>
      </c>
      <c r="H16" t="s">
        <v>20</v>
      </c>
      <c r="I16" t="s">
        <v>21</v>
      </c>
      <c r="J16">
        <v>5.5</v>
      </c>
      <c r="K16">
        <v>1.36</v>
      </c>
      <c r="L16" t="s">
        <v>22</v>
      </c>
      <c r="M16" t="s">
        <v>62</v>
      </c>
      <c r="N16">
        <v>0</v>
      </c>
      <c r="O16">
        <f t="shared" si="0"/>
        <v>-1</v>
      </c>
    </row>
    <row r="17" spans="1:15" x14ac:dyDescent="0.3">
      <c r="A17" s="2">
        <v>46256</v>
      </c>
      <c r="B17" t="s">
        <v>14</v>
      </c>
      <c r="C17" t="s">
        <v>87</v>
      </c>
      <c r="D17" t="s">
        <v>88</v>
      </c>
      <c r="E17" t="s">
        <v>89</v>
      </c>
      <c r="F17" t="s">
        <v>90</v>
      </c>
      <c r="G17" t="s">
        <v>19</v>
      </c>
      <c r="H17" t="s">
        <v>20</v>
      </c>
      <c r="I17" t="s">
        <v>21</v>
      </c>
      <c r="J17">
        <v>5.7</v>
      </c>
      <c r="K17">
        <v>1.38</v>
      </c>
      <c r="L17" t="s">
        <v>22</v>
      </c>
      <c r="M17" t="s">
        <v>23</v>
      </c>
      <c r="N17">
        <v>1</v>
      </c>
      <c r="O17">
        <f t="shared" si="0"/>
        <v>0.2053191489361702</v>
      </c>
    </row>
    <row r="18" spans="1:15" x14ac:dyDescent="0.3">
      <c r="A18" s="2">
        <v>46256</v>
      </c>
      <c r="B18" t="s">
        <v>14</v>
      </c>
      <c r="C18" t="s">
        <v>91</v>
      </c>
      <c r="D18" t="s">
        <v>92</v>
      </c>
      <c r="E18" t="s">
        <v>93</v>
      </c>
      <c r="F18" t="s">
        <v>94</v>
      </c>
      <c r="G18" t="s">
        <v>19</v>
      </c>
      <c r="H18" t="s">
        <v>20</v>
      </c>
      <c r="I18" t="s">
        <v>21</v>
      </c>
      <c r="J18">
        <v>8.8000000000000007</v>
      </c>
      <c r="K18">
        <v>1.2</v>
      </c>
      <c r="L18" t="s">
        <v>22</v>
      </c>
      <c r="M18" t="s">
        <v>23</v>
      </c>
      <c r="N18">
        <v>1</v>
      </c>
      <c r="O18">
        <f t="shared" si="0"/>
        <v>0.12371794871794871</v>
      </c>
    </row>
    <row r="19" spans="1:15" x14ac:dyDescent="0.3">
      <c r="A19" s="2">
        <v>46256</v>
      </c>
      <c r="B19" t="s">
        <v>14</v>
      </c>
      <c r="C19" t="s">
        <v>95</v>
      </c>
      <c r="D19" t="s">
        <v>96</v>
      </c>
      <c r="E19" t="s">
        <v>97</v>
      </c>
      <c r="F19" t="s">
        <v>98</v>
      </c>
      <c r="G19" t="s">
        <v>19</v>
      </c>
      <c r="H19" t="s">
        <v>20</v>
      </c>
      <c r="I19" t="s">
        <v>21</v>
      </c>
      <c r="J19">
        <v>7.2</v>
      </c>
      <c r="K19">
        <v>1.23</v>
      </c>
      <c r="L19" t="s">
        <v>22</v>
      </c>
      <c r="M19" t="s">
        <v>23</v>
      </c>
      <c r="N19">
        <v>1</v>
      </c>
      <c r="O19">
        <f t="shared" si="0"/>
        <v>0.15564516129032258</v>
      </c>
    </row>
    <row r="20" spans="1:15" x14ac:dyDescent="0.3">
      <c r="A20" s="2">
        <v>46256</v>
      </c>
      <c r="B20" t="s">
        <v>14</v>
      </c>
      <c r="C20" t="s">
        <v>15</v>
      </c>
      <c r="D20" t="s">
        <v>99</v>
      </c>
      <c r="E20" t="s">
        <v>100</v>
      </c>
      <c r="F20" t="s">
        <v>101</v>
      </c>
      <c r="G20" t="s">
        <v>19</v>
      </c>
      <c r="H20" t="s">
        <v>20</v>
      </c>
      <c r="I20" t="s">
        <v>21</v>
      </c>
      <c r="J20">
        <v>6.4</v>
      </c>
      <c r="K20">
        <v>1.34</v>
      </c>
      <c r="L20" t="s">
        <v>22</v>
      </c>
      <c r="M20" t="s">
        <v>62</v>
      </c>
      <c r="N20">
        <v>0</v>
      </c>
      <c r="O20">
        <f t="shared" si="0"/>
        <v>-1</v>
      </c>
    </row>
    <row r="21" spans="1:15" x14ac:dyDescent="0.3">
      <c r="A21" s="2">
        <v>46256</v>
      </c>
      <c r="B21" t="s">
        <v>14</v>
      </c>
      <c r="C21" t="s">
        <v>102</v>
      </c>
      <c r="D21" t="s">
        <v>103</v>
      </c>
      <c r="E21" t="s">
        <v>104</v>
      </c>
      <c r="F21" t="s">
        <v>105</v>
      </c>
      <c r="G21" t="s">
        <v>19</v>
      </c>
      <c r="H21" t="s">
        <v>20</v>
      </c>
      <c r="I21" t="s">
        <v>21</v>
      </c>
      <c r="J21">
        <v>5.4</v>
      </c>
      <c r="K21">
        <v>1.38</v>
      </c>
      <c r="L21" t="s">
        <v>22</v>
      </c>
      <c r="M21" t="s">
        <v>23</v>
      </c>
      <c r="N21">
        <v>1</v>
      </c>
      <c r="O21">
        <f t="shared" si="0"/>
        <v>0.2193181818181818</v>
      </c>
    </row>
    <row r="22" spans="1:15" x14ac:dyDescent="0.3">
      <c r="A22" s="2">
        <v>46256</v>
      </c>
      <c r="B22" t="s">
        <v>14</v>
      </c>
      <c r="C22" t="s">
        <v>24</v>
      </c>
      <c r="D22" t="s">
        <v>106</v>
      </c>
      <c r="E22" t="s">
        <v>107</v>
      </c>
      <c r="F22" t="s">
        <v>108</v>
      </c>
      <c r="G22" t="s">
        <v>19</v>
      </c>
      <c r="H22" t="s">
        <v>20</v>
      </c>
      <c r="I22" t="s">
        <v>21</v>
      </c>
      <c r="J22">
        <v>7.8</v>
      </c>
      <c r="K22">
        <v>1.22</v>
      </c>
      <c r="L22" t="s">
        <v>22</v>
      </c>
      <c r="M22" t="s">
        <v>23</v>
      </c>
      <c r="N22">
        <v>1</v>
      </c>
      <c r="O22">
        <f t="shared" si="0"/>
        <v>0.14191176470588235</v>
      </c>
    </row>
    <row r="23" spans="1:15" x14ac:dyDescent="0.3">
      <c r="A23" s="2">
        <v>46256</v>
      </c>
      <c r="B23" t="s">
        <v>14</v>
      </c>
      <c r="C23" t="s">
        <v>83</v>
      </c>
      <c r="D23" t="s">
        <v>109</v>
      </c>
      <c r="E23" t="s">
        <v>110</v>
      </c>
      <c r="F23" t="s">
        <v>111</v>
      </c>
      <c r="G23" t="s">
        <v>19</v>
      </c>
      <c r="H23" t="s">
        <v>20</v>
      </c>
      <c r="I23" t="s">
        <v>21</v>
      </c>
      <c r="J23">
        <v>6.2</v>
      </c>
      <c r="K23">
        <v>1.31</v>
      </c>
      <c r="L23" t="s">
        <v>22</v>
      </c>
      <c r="M23" t="s">
        <v>23</v>
      </c>
      <c r="N23">
        <v>1</v>
      </c>
      <c r="O23">
        <f t="shared" si="0"/>
        <v>0.18557692307692306</v>
      </c>
    </row>
    <row r="24" spans="1:15" x14ac:dyDescent="0.3">
      <c r="A24" s="2">
        <v>46256</v>
      </c>
      <c r="B24" t="s">
        <v>14</v>
      </c>
      <c r="C24" t="s">
        <v>95</v>
      </c>
      <c r="D24" t="s">
        <v>112</v>
      </c>
      <c r="E24" t="s">
        <v>113</v>
      </c>
      <c r="F24" t="s">
        <v>114</v>
      </c>
      <c r="G24" t="s">
        <v>19</v>
      </c>
      <c r="H24" t="s">
        <v>20</v>
      </c>
      <c r="I24" t="s">
        <v>21</v>
      </c>
      <c r="J24">
        <v>7</v>
      </c>
      <c r="K24">
        <v>1.23</v>
      </c>
      <c r="L24" t="s">
        <v>22</v>
      </c>
      <c r="M24" t="s">
        <v>23</v>
      </c>
      <c r="N24">
        <v>1</v>
      </c>
      <c r="O24">
        <f t="shared" si="0"/>
        <v>0.16083333333333333</v>
      </c>
    </row>
    <row r="25" spans="1:15" x14ac:dyDescent="0.3">
      <c r="A25" s="2">
        <v>46256</v>
      </c>
      <c r="B25" t="s">
        <v>14</v>
      </c>
      <c r="C25" t="s">
        <v>63</v>
      </c>
      <c r="D25" t="s">
        <v>115</v>
      </c>
      <c r="E25" t="s">
        <v>116</v>
      </c>
      <c r="F25" t="s">
        <v>117</v>
      </c>
      <c r="G25" t="s">
        <v>19</v>
      </c>
      <c r="H25" t="s">
        <v>20</v>
      </c>
      <c r="I25" t="s">
        <v>21</v>
      </c>
      <c r="J25">
        <v>6.6</v>
      </c>
      <c r="K25">
        <v>1.27</v>
      </c>
      <c r="L25" t="s">
        <v>22</v>
      </c>
      <c r="M25" t="s">
        <v>23</v>
      </c>
      <c r="N25">
        <v>1</v>
      </c>
      <c r="O25">
        <f t="shared" si="0"/>
        <v>0.17232142857142857</v>
      </c>
    </row>
    <row r="26" spans="1:15" x14ac:dyDescent="0.3">
      <c r="A26" s="2">
        <v>46256</v>
      </c>
      <c r="B26" t="s">
        <v>14</v>
      </c>
      <c r="C26" t="s">
        <v>118</v>
      </c>
      <c r="D26" t="s">
        <v>119</v>
      </c>
      <c r="E26" t="s">
        <v>120</v>
      </c>
      <c r="F26" t="s">
        <v>121</v>
      </c>
      <c r="G26" t="s">
        <v>19</v>
      </c>
      <c r="H26" t="s">
        <v>20</v>
      </c>
      <c r="I26" t="s">
        <v>21</v>
      </c>
      <c r="J26">
        <v>6.2</v>
      </c>
      <c r="K26">
        <v>1.3</v>
      </c>
      <c r="L26" t="s">
        <v>22</v>
      </c>
      <c r="M26" t="s">
        <v>23</v>
      </c>
      <c r="N26">
        <v>1</v>
      </c>
      <c r="O26">
        <f t="shared" si="0"/>
        <v>0.18557692307692306</v>
      </c>
    </row>
    <row r="27" spans="1:15" x14ac:dyDescent="0.3">
      <c r="A27" s="2">
        <v>46256</v>
      </c>
      <c r="B27" t="s">
        <v>14</v>
      </c>
      <c r="C27" t="s">
        <v>122</v>
      </c>
      <c r="D27" t="s">
        <v>123</v>
      </c>
      <c r="E27" t="s">
        <v>124</v>
      </c>
      <c r="F27" t="s">
        <v>125</v>
      </c>
      <c r="G27" t="s">
        <v>19</v>
      </c>
      <c r="H27" t="s">
        <v>20</v>
      </c>
      <c r="I27" t="s">
        <v>21</v>
      </c>
      <c r="J27">
        <v>8.1999999999999993</v>
      </c>
      <c r="K27">
        <v>1.23</v>
      </c>
      <c r="L27" t="s">
        <v>22</v>
      </c>
      <c r="M27" t="s">
        <v>23</v>
      </c>
      <c r="N27">
        <v>1</v>
      </c>
      <c r="O27">
        <f t="shared" si="0"/>
        <v>0.13402777777777777</v>
      </c>
    </row>
    <row r="28" spans="1:15" x14ac:dyDescent="0.3">
      <c r="A28" s="2">
        <v>46256</v>
      </c>
      <c r="B28" t="s">
        <v>14</v>
      </c>
      <c r="C28" t="s">
        <v>126</v>
      </c>
      <c r="D28" t="s">
        <v>127</v>
      </c>
      <c r="E28" t="s">
        <v>128</v>
      </c>
      <c r="F28" t="s">
        <v>129</v>
      </c>
      <c r="G28" t="s">
        <v>19</v>
      </c>
      <c r="H28" t="s">
        <v>20</v>
      </c>
      <c r="I28" t="s">
        <v>21</v>
      </c>
      <c r="J28">
        <v>6.6</v>
      </c>
      <c r="K28">
        <v>1.38</v>
      </c>
      <c r="L28" t="s">
        <v>22</v>
      </c>
      <c r="M28" t="s">
        <v>23</v>
      </c>
      <c r="N28">
        <v>1</v>
      </c>
      <c r="O28">
        <f t="shared" si="0"/>
        <v>0.17232142857142857</v>
      </c>
    </row>
    <row r="29" spans="1:15" x14ac:dyDescent="0.3">
      <c r="A29" s="2">
        <v>46256</v>
      </c>
      <c r="B29" t="s">
        <v>14</v>
      </c>
      <c r="C29" t="s">
        <v>130</v>
      </c>
      <c r="D29" t="s">
        <v>131</v>
      </c>
      <c r="E29" t="s">
        <v>132</v>
      </c>
      <c r="F29" t="s">
        <v>133</v>
      </c>
      <c r="G29" t="s">
        <v>19</v>
      </c>
      <c r="H29" t="s">
        <v>20</v>
      </c>
      <c r="I29" t="s">
        <v>21</v>
      </c>
      <c r="J29">
        <v>6.8</v>
      </c>
      <c r="K29">
        <v>1.27</v>
      </c>
      <c r="L29" t="s">
        <v>22</v>
      </c>
      <c r="M29" t="s">
        <v>23</v>
      </c>
      <c r="N29">
        <v>1</v>
      </c>
      <c r="O29">
        <f t="shared" si="0"/>
        <v>0.16637931034482759</v>
      </c>
    </row>
    <row r="30" spans="1:15" x14ac:dyDescent="0.3">
      <c r="A30" s="2">
        <v>46256</v>
      </c>
      <c r="B30" t="s">
        <v>14</v>
      </c>
      <c r="C30" t="s">
        <v>126</v>
      </c>
      <c r="D30" t="s">
        <v>134</v>
      </c>
      <c r="E30" t="s">
        <v>135</v>
      </c>
      <c r="F30" t="s">
        <v>136</v>
      </c>
      <c r="G30" t="s">
        <v>19</v>
      </c>
      <c r="H30" t="s">
        <v>20</v>
      </c>
      <c r="I30" t="s">
        <v>21</v>
      </c>
      <c r="J30">
        <v>5.8</v>
      </c>
      <c r="K30">
        <v>1.4</v>
      </c>
      <c r="L30" t="s">
        <v>22</v>
      </c>
      <c r="M30" t="s">
        <v>23</v>
      </c>
      <c r="N30">
        <v>1</v>
      </c>
      <c r="O30">
        <f t="shared" si="0"/>
        <v>0.20104166666666667</v>
      </c>
    </row>
    <row r="31" spans="1:15" x14ac:dyDescent="0.3">
      <c r="A31" s="2">
        <v>46256</v>
      </c>
      <c r="B31" t="s">
        <v>14</v>
      </c>
      <c r="C31" t="s">
        <v>137</v>
      </c>
      <c r="D31" t="s">
        <v>138</v>
      </c>
      <c r="E31" t="s">
        <v>139</v>
      </c>
      <c r="F31" t="s">
        <v>140</v>
      </c>
      <c r="G31" t="s">
        <v>59</v>
      </c>
      <c r="H31" t="s">
        <v>60</v>
      </c>
      <c r="I31" t="s">
        <v>21</v>
      </c>
      <c r="J31">
        <v>6.4</v>
      </c>
      <c r="K31">
        <v>1.57</v>
      </c>
      <c r="L31" t="s">
        <v>141</v>
      </c>
      <c r="M31" t="s">
        <v>23</v>
      </c>
      <c r="N31">
        <v>1</v>
      </c>
      <c r="O31">
        <f t="shared" si="0"/>
        <v>0.1787037037037037</v>
      </c>
    </row>
    <row r="32" spans="1:15" x14ac:dyDescent="0.3">
      <c r="A32" s="2">
        <v>46256</v>
      </c>
      <c r="B32" t="s">
        <v>14</v>
      </c>
      <c r="C32" t="s">
        <v>142</v>
      </c>
      <c r="D32" t="s">
        <v>143</v>
      </c>
      <c r="E32" t="s">
        <v>144</v>
      </c>
      <c r="F32" t="s">
        <v>145</v>
      </c>
      <c r="G32" t="s">
        <v>59</v>
      </c>
      <c r="H32" t="s">
        <v>60</v>
      </c>
      <c r="I32" t="s">
        <v>21</v>
      </c>
      <c r="J32">
        <v>8.1999999999999993</v>
      </c>
      <c r="K32">
        <v>1.47</v>
      </c>
      <c r="L32" t="s">
        <v>146</v>
      </c>
      <c r="M32" t="s">
        <v>23</v>
      </c>
      <c r="N32">
        <v>1</v>
      </c>
      <c r="O32">
        <f t="shared" si="0"/>
        <v>0.13402777777777777</v>
      </c>
    </row>
    <row r="33" spans="1:15" x14ac:dyDescent="0.3">
      <c r="A33" s="2">
        <v>46256</v>
      </c>
      <c r="B33" t="s">
        <v>14</v>
      </c>
      <c r="C33" t="s">
        <v>147</v>
      </c>
      <c r="D33" t="s">
        <v>148</v>
      </c>
      <c r="E33" t="s">
        <v>149</v>
      </c>
      <c r="F33" t="s">
        <v>150</v>
      </c>
      <c r="G33" t="s">
        <v>59</v>
      </c>
      <c r="H33" t="s">
        <v>60</v>
      </c>
      <c r="I33" t="s">
        <v>21</v>
      </c>
      <c r="J33">
        <v>5.7</v>
      </c>
      <c r="K33">
        <v>1.64</v>
      </c>
      <c r="L33" t="s">
        <v>151</v>
      </c>
      <c r="M33" t="s">
        <v>23</v>
      </c>
      <c r="N33">
        <v>1</v>
      </c>
      <c r="O33">
        <f t="shared" si="0"/>
        <v>0.2053191489361702</v>
      </c>
    </row>
    <row r="34" spans="1:15" x14ac:dyDescent="0.3">
      <c r="A34" s="2">
        <v>46256</v>
      </c>
      <c r="B34" t="s">
        <v>14</v>
      </c>
      <c r="C34" t="s">
        <v>15</v>
      </c>
      <c r="D34" t="s">
        <v>80</v>
      </c>
      <c r="E34" t="s">
        <v>81</v>
      </c>
      <c r="F34" t="s">
        <v>82</v>
      </c>
      <c r="G34" t="s">
        <v>59</v>
      </c>
      <c r="H34" t="s">
        <v>60</v>
      </c>
      <c r="I34" t="s">
        <v>21</v>
      </c>
      <c r="J34">
        <v>9.4</v>
      </c>
      <c r="K34">
        <v>1.4</v>
      </c>
      <c r="L34" t="s">
        <v>28</v>
      </c>
      <c r="M34" t="s">
        <v>23</v>
      </c>
      <c r="N34">
        <v>1</v>
      </c>
      <c r="O34">
        <f t="shared" si="0"/>
        <v>0.11488095238095238</v>
      </c>
    </row>
    <row r="35" spans="1:15" x14ac:dyDescent="0.3">
      <c r="A35" s="2">
        <v>46256</v>
      </c>
      <c r="B35" t="s">
        <v>14</v>
      </c>
      <c r="C35" t="s">
        <v>152</v>
      </c>
      <c r="D35" t="s">
        <v>153</v>
      </c>
      <c r="E35" t="s">
        <v>154</v>
      </c>
      <c r="F35" t="s">
        <v>155</v>
      </c>
      <c r="G35" t="s">
        <v>59</v>
      </c>
      <c r="H35" t="s">
        <v>60</v>
      </c>
      <c r="I35" t="s">
        <v>21</v>
      </c>
      <c r="J35">
        <v>5.6</v>
      </c>
      <c r="K35">
        <v>1.65</v>
      </c>
      <c r="L35" t="s">
        <v>156</v>
      </c>
      <c r="M35" t="s">
        <v>62</v>
      </c>
      <c r="N35">
        <v>0</v>
      </c>
      <c r="O35">
        <f t="shared" si="0"/>
        <v>-1</v>
      </c>
    </row>
    <row r="36" spans="1:15" x14ac:dyDescent="0.3">
      <c r="A36" s="2">
        <v>46256</v>
      </c>
      <c r="B36" t="s">
        <v>14</v>
      </c>
      <c r="C36" t="s">
        <v>157</v>
      </c>
      <c r="D36" t="s">
        <v>158</v>
      </c>
      <c r="E36" t="s">
        <v>159</v>
      </c>
      <c r="F36" t="s">
        <v>160</v>
      </c>
      <c r="G36" t="s">
        <v>59</v>
      </c>
      <c r="H36" t="s">
        <v>60</v>
      </c>
      <c r="I36" t="s">
        <v>21</v>
      </c>
      <c r="J36">
        <v>8.6</v>
      </c>
      <c r="K36">
        <v>1.44</v>
      </c>
      <c r="L36" t="s">
        <v>161</v>
      </c>
      <c r="M36" t="s">
        <v>23</v>
      </c>
      <c r="N36">
        <v>1</v>
      </c>
      <c r="O36">
        <f t="shared" si="0"/>
        <v>0.12697368421052632</v>
      </c>
    </row>
    <row r="37" spans="1:15" x14ac:dyDescent="0.3">
      <c r="A37" s="2">
        <v>46256</v>
      </c>
      <c r="B37" t="s">
        <v>14</v>
      </c>
      <c r="C37" t="s">
        <v>162</v>
      </c>
      <c r="D37" t="s">
        <v>163</v>
      </c>
      <c r="E37" t="s">
        <v>164</v>
      </c>
      <c r="F37" t="s">
        <v>165</v>
      </c>
      <c r="G37" t="s">
        <v>59</v>
      </c>
      <c r="H37" t="s">
        <v>60</v>
      </c>
      <c r="I37" t="s">
        <v>21</v>
      </c>
      <c r="J37">
        <v>7</v>
      </c>
      <c r="K37">
        <v>1.64</v>
      </c>
      <c r="L37" t="s">
        <v>166</v>
      </c>
      <c r="M37" t="s">
        <v>23</v>
      </c>
      <c r="N37">
        <v>1</v>
      </c>
      <c r="O37">
        <f t="shared" si="0"/>
        <v>0.16083333333333333</v>
      </c>
    </row>
    <row r="38" spans="1:15" x14ac:dyDescent="0.3">
      <c r="A38" s="2">
        <v>46256</v>
      </c>
      <c r="B38" t="s">
        <v>14</v>
      </c>
      <c r="C38" t="s">
        <v>47</v>
      </c>
      <c r="D38" t="s">
        <v>167</v>
      </c>
      <c r="E38" t="s">
        <v>168</v>
      </c>
      <c r="F38" t="s">
        <v>169</v>
      </c>
      <c r="G38" t="s">
        <v>170</v>
      </c>
      <c r="H38" t="s">
        <v>171</v>
      </c>
      <c r="I38" t="s">
        <v>21</v>
      </c>
      <c r="J38">
        <v>18</v>
      </c>
      <c r="K38">
        <v>2.36</v>
      </c>
      <c r="L38" t="s">
        <v>172</v>
      </c>
      <c r="M38" t="s">
        <v>23</v>
      </c>
      <c r="N38">
        <v>1</v>
      </c>
      <c r="O38">
        <f t="shared" si="0"/>
        <v>5.6764705882352939E-2</v>
      </c>
    </row>
    <row r="39" spans="1:15" x14ac:dyDescent="0.3">
      <c r="A39" s="2">
        <v>46256</v>
      </c>
      <c r="B39" t="s">
        <v>14</v>
      </c>
      <c r="C39" t="s">
        <v>173</v>
      </c>
      <c r="D39" t="s">
        <v>174</v>
      </c>
      <c r="E39" t="s">
        <v>175</v>
      </c>
      <c r="F39" t="s">
        <v>176</v>
      </c>
      <c r="G39" t="s">
        <v>170</v>
      </c>
      <c r="H39" t="s">
        <v>171</v>
      </c>
      <c r="I39" t="s">
        <v>21</v>
      </c>
      <c r="J39">
        <v>19</v>
      </c>
      <c r="K39">
        <v>2.46</v>
      </c>
      <c r="L39" t="s">
        <v>156</v>
      </c>
      <c r="M39" t="s">
        <v>23</v>
      </c>
      <c r="N39">
        <v>1</v>
      </c>
      <c r="O39">
        <f t="shared" si="0"/>
        <v>5.3611111111111109E-2</v>
      </c>
    </row>
    <row r="40" spans="1:15" x14ac:dyDescent="0.3">
      <c r="A40" s="2">
        <v>46257</v>
      </c>
      <c r="B40" t="s">
        <v>14</v>
      </c>
      <c r="C40" t="s">
        <v>142</v>
      </c>
      <c r="D40" t="s">
        <v>177</v>
      </c>
      <c r="E40" t="s">
        <v>178</v>
      </c>
      <c r="F40" t="s">
        <v>179</v>
      </c>
      <c r="G40" t="s">
        <v>19</v>
      </c>
      <c r="H40" t="s">
        <v>20</v>
      </c>
      <c r="I40" t="s">
        <v>21</v>
      </c>
      <c r="J40">
        <v>6.6</v>
      </c>
      <c r="K40">
        <v>1.35</v>
      </c>
      <c r="L40" t="s">
        <v>22</v>
      </c>
      <c r="M40" t="s">
        <v>23</v>
      </c>
      <c r="N40">
        <v>1</v>
      </c>
      <c r="O40">
        <f t="shared" si="0"/>
        <v>0.17232142857142857</v>
      </c>
    </row>
    <row r="41" spans="1:15" x14ac:dyDescent="0.3">
      <c r="A41" s="2">
        <v>46257</v>
      </c>
      <c r="B41" t="s">
        <v>14</v>
      </c>
      <c r="C41" t="s">
        <v>180</v>
      </c>
      <c r="D41" t="s">
        <v>181</v>
      </c>
      <c r="E41" t="s">
        <v>182</v>
      </c>
      <c r="F41" t="s">
        <v>183</v>
      </c>
      <c r="G41" t="s">
        <v>19</v>
      </c>
      <c r="H41" t="s">
        <v>20</v>
      </c>
      <c r="I41" t="s">
        <v>21</v>
      </c>
      <c r="J41">
        <v>6</v>
      </c>
      <c r="K41">
        <v>1.37</v>
      </c>
      <c r="L41" t="s">
        <v>22</v>
      </c>
      <c r="M41" t="s">
        <v>23</v>
      </c>
      <c r="N41">
        <v>1</v>
      </c>
      <c r="O41">
        <f t="shared" si="0"/>
        <v>0.193</v>
      </c>
    </row>
    <row r="42" spans="1:15" x14ac:dyDescent="0.3">
      <c r="A42" s="2">
        <v>46257</v>
      </c>
      <c r="B42" t="s">
        <v>14</v>
      </c>
      <c r="C42" t="s">
        <v>184</v>
      </c>
      <c r="D42" t="s">
        <v>185</v>
      </c>
      <c r="E42" t="s">
        <v>186</v>
      </c>
      <c r="F42" t="s">
        <v>187</v>
      </c>
      <c r="G42" t="s">
        <v>19</v>
      </c>
      <c r="H42" t="s">
        <v>20</v>
      </c>
      <c r="I42" t="s">
        <v>21</v>
      </c>
      <c r="J42">
        <v>6.8</v>
      </c>
      <c r="K42">
        <v>1.33</v>
      </c>
      <c r="L42" t="s">
        <v>22</v>
      </c>
      <c r="M42" t="s">
        <v>23</v>
      </c>
      <c r="N42">
        <v>1</v>
      </c>
      <c r="O42">
        <f t="shared" si="0"/>
        <v>0.16637931034482759</v>
      </c>
    </row>
    <row r="43" spans="1:15" x14ac:dyDescent="0.3">
      <c r="A43" s="2">
        <v>46257</v>
      </c>
      <c r="B43" t="s">
        <v>14</v>
      </c>
      <c r="C43" t="s">
        <v>147</v>
      </c>
      <c r="D43" t="s">
        <v>188</v>
      </c>
      <c r="E43" t="s">
        <v>189</v>
      </c>
      <c r="F43" t="s">
        <v>190</v>
      </c>
      <c r="G43" t="s">
        <v>19</v>
      </c>
      <c r="H43" t="s">
        <v>20</v>
      </c>
      <c r="I43" t="s">
        <v>21</v>
      </c>
      <c r="J43">
        <v>7</v>
      </c>
      <c r="K43">
        <v>1.31</v>
      </c>
      <c r="L43" t="s">
        <v>22</v>
      </c>
      <c r="M43" t="s">
        <v>23</v>
      </c>
      <c r="N43">
        <v>1</v>
      </c>
      <c r="O43">
        <f t="shared" si="0"/>
        <v>0.16083333333333333</v>
      </c>
    </row>
    <row r="44" spans="1:15" x14ac:dyDescent="0.3">
      <c r="A44" s="2">
        <v>46257</v>
      </c>
      <c r="B44" t="s">
        <v>14</v>
      </c>
      <c r="C44" t="s">
        <v>147</v>
      </c>
      <c r="D44" t="s">
        <v>191</v>
      </c>
      <c r="E44" t="s">
        <v>192</v>
      </c>
      <c r="F44" t="s">
        <v>193</v>
      </c>
      <c r="G44" t="s">
        <v>19</v>
      </c>
      <c r="H44" t="s">
        <v>20</v>
      </c>
      <c r="I44" t="s">
        <v>21</v>
      </c>
      <c r="J44">
        <v>7.4</v>
      </c>
      <c r="K44">
        <v>14</v>
      </c>
      <c r="L44" t="s">
        <v>194</v>
      </c>
      <c r="M44" t="s">
        <v>23</v>
      </c>
      <c r="N44">
        <v>1</v>
      </c>
      <c r="O44">
        <f t="shared" si="0"/>
        <v>0.15078124999999998</v>
      </c>
    </row>
    <row r="45" spans="1:15" x14ac:dyDescent="0.3">
      <c r="A45" s="2">
        <v>46257</v>
      </c>
      <c r="B45" t="s">
        <v>14</v>
      </c>
      <c r="C45" t="s">
        <v>195</v>
      </c>
      <c r="D45" t="s">
        <v>196</v>
      </c>
      <c r="E45" t="s">
        <v>197</v>
      </c>
      <c r="F45" t="s">
        <v>198</v>
      </c>
      <c r="G45" t="s">
        <v>19</v>
      </c>
      <c r="H45" t="s">
        <v>20</v>
      </c>
      <c r="I45" t="s">
        <v>21</v>
      </c>
      <c r="J45">
        <v>7</v>
      </c>
      <c r="K45">
        <v>1.32</v>
      </c>
      <c r="L45" t="s">
        <v>22</v>
      </c>
      <c r="M45" t="s">
        <v>23</v>
      </c>
      <c r="N45">
        <v>1</v>
      </c>
      <c r="O45">
        <f t="shared" si="0"/>
        <v>0.16083333333333333</v>
      </c>
    </row>
    <row r="46" spans="1:15" x14ac:dyDescent="0.3">
      <c r="A46" s="2">
        <v>46257</v>
      </c>
      <c r="B46" t="s">
        <v>14</v>
      </c>
      <c r="C46" t="s">
        <v>29</v>
      </c>
      <c r="D46" t="s">
        <v>199</v>
      </c>
      <c r="E46" t="s">
        <v>200</v>
      </c>
      <c r="F46" t="s">
        <v>201</v>
      </c>
      <c r="G46" t="s">
        <v>19</v>
      </c>
      <c r="H46" t="s">
        <v>20</v>
      </c>
      <c r="I46" t="s">
        <v>21</v>
      </c>
      <c r="J46">
        <v>7.6</v>
      </c>
      <c r="K46">
        <v>1.22</v>
      </c>
      <c r="L46" t="s">
        <v>22</v>
      </c>
      <c r="M46" t="s">
        <v>23</v>
      </c>
      <c r="N46">
        <v>1</v>
      </c>
      <c r="O46">
        <f t="shared" si="0"/>
        <v>0.14621212121212121</v>
      </c>
    </row>
    <row r="47" spans="1:15" x14ac:dyDescent="0.3">
      <c r="A47" s="2">
        <v>46257</v>
      </c>
      <c r="B47" t="s">
        <v>14</v>
      </c>
      <c r="C47" t="s">
        <v>202</v>
      </c>
      <c r="D47" t="s">
        <v>203</v>
      </c>
      <c r="E47" t="s">
        <v>204</v>
      </c>
      <c r="F47" t="s">
        <v>205</v>
      </c>
      <c r="G47" t="s">
        <v>19</v>
      </c>
      <c r="H47" t="s">
        <v>20</v>
      </c>
      <c r="I47" t="s">
        <v>21</v>
      </c>
      <c r="J47">
        <v>8.8000000000000007</v>
      </c>
      <c r="K47">
        <v>1.2</v>
      </c>
      <c r="L47" t="s">
        <v>22</v>
      </c>
      <c r="M47" t="s">
        <v>23</v>
      </c>
      <c r="N47">
        <v>1</v>
      </c>
      <c r="O47">
        <f t="shared" si="0"/>
        <v>0.12371794871794871</v>
      </c>
    </row>
    <row r="48" spans="1:15" x14ac:dyDescent="0.3">
      <c r="A48" s="2">
        <v>46257</v>
      </c>
      <c r="B48" t="s">
        <v>14</v>
      </c>
      <c r="C48" t="s">
        <v>29</v>
      </c>
      <c r="D48" t="s">
        <v>206</v>
      </c>
      <c r="E48" t="s">
        <v>207</v>
      </c>
      <c r="F48" t="s">
        <v>208</v>
      </c>
      <c r="G48" t="s">
        <v>19</v>
      </c>
      <c r="H48" t="s">
        <v>20</v>
      </c>
      <c r="I48" t="s">
        <v>21</v>
      </c>
      <c r="J48">
        <v>8</v>
      </c>
      <c r="K48">
        <v>1.2</v>
      </c>
      <c r="L48" t="s">
        <v>22</v>
      </c>
      <c r="M48" t="s">
        <v>23</v>
      </c>
      <c r="N48">
        <v>1</v>
      </c>
      <c r="O48">
        <f t="shared" si="0"/>
        <v>0.13785714285714284</v>
      </c>
    </row>
    <row r="49" spans="1:15" x14ac:dyDescent="0.3">
      <c r="A49" s="2">
        <v>46257</v>
      </c>
      <c r="B49" t="s">
        <v>14</v>
      </c>
      <c r="C49" t="s">
        <v>209</v>
      </c>
      <c r="D49" t="s">
        <v>210</v>
      </c>
      <c r="E49" t="s">
        <v>211</v>
      </c>
      <c r="F49" t="s">
        <v>212</v>
      </c>
      <c r="G49" t="s">
        <v>19</v>
      </c>
      <c r="H49" t="s">
        <v>20</v>
      </c>
      <c r="I49" t="s">
        <v>21</v>
      </c>
      <c r="J49">
        <v>6.8</v>
      </c>
      <c r="K49">
        <v>1.36</v>
      </c>
      <c r="L49" t="s">
        <v>22</v>
      </c>
      <c r="M49" t="s">
        <v>23</v>
      </c>
      <c r="N49">
        <v>1</v>
      </c>
      <c r="O49">
        <f t="shared" si="0"/>
        <v>0.16637931034482759</v>
      </c>
    </row>
    <row r="50" spans="1:15" x14ac:dyDescent="0.3">
      <c r="A50" s="2">
        <v>46257</v>
      </c>
      <c r="B50" t="s">
        <v>14</v>
      </c>
      <c r="C50" t="s">
        <v>122</v>
      </c>
      <c r="D50" t="s">
        <v>213</v>
      </c>
      <c r="E50" t="s">
        <v>214</v>
      </c>
      <c r="F50" t="s">
        <v>215</v>
      </c>
      <c r="G50" t="s">
        <v>19</v>
      </c>
      <c r="H50" t="s">
        <v>20</v>
      </c>
      <c r="I50" t="s">
        <v>21</v>
      </c>
      <c r="J50">
        <v>6.6</v>
      </c>
      <c r="K50">
        <v>1.3</v>
      </c>
      <c r="L50" t="s">
        <v>22</v>
      </c>
      <c r="M50" t="s">
        <v>23</v>
      </c>
      <c r="N50">
        <v>1</v>
      </c>
      <c r="O50">
        <f t="shared" si="0"/>
        <v>0.17232142857142857</v>
      </c>
    </row>
    <row r="51" spans="1:15" x14ac:dyDescent="0.3">
      <c r="A51" s="2">
        <v>46257</v>
      </c>
      <c r="B51" t="s">
        <v>14</v>
      </c>
      <c r="C51" t="s">
        <v>157</v>
      </c>
      <c r="D51" t="s">
        <v>216</v>
      </c>
      <c r="E51" t="s">
        <v>217</v>
      </c>
      <c r="F51" t="s">
        <v>218</v>
      </c>
      <c r="G51" t="s">
        <v>19</v>
      </c>
      <c r="H51" t="s">
        <v>20</v>
      </c>
      <c r="I51" t="s">
        <v>21</v>
      </c>
      <c r="J51">
        <v>6.2</v>
      </c>
      <c r="K51">
        <v>9.4</v>
      </c>
      <c r="L51" t="s">
        <v>42</v>
      </c>
      <c r="M51" t="s">
        <v>23</v>
      </c>
      <c r="N51">
        <v>1</v>
      </c>
      <c r="O51">
        <f t="shared" si="0"/>
        <v>0.18557692307692306</v>
      </c>
    </row>
    <row r="52" spans="1:15" x14ac:dyDescent="0.3">
      <c r="A52" s="2">
        <v>46257</v>
      </c>
      <c r="B52" t="s">
        <v>14</v>
      </c>
      <c r="C52" t="s">
        <v>87</v>
      </c>
      <c r="D52" t="s">
        <v>219</v>
      </c>
      <c r="E52" t="s">
        <v>220</v>
      </c>
      <c r="F52" t="s">
        <v>221</v>
      </c>
      <c r="G52" t="s">
        <v>19</v>
      </c>
      <c r="H52" t="s">
        <v>20</v>
      </c>
      <c r="I52" t="s">
        <v>21</v>
      </c>
      <c r="J52">
        <v>6.8</v>
      </c>
      <c r="K52">
        <v>1.27</v>
      </c>
      <c r="L52" t="s">
        <v>22</v>
      </c>
      <c r="M52" t="s">
        <v>23</v>
      </c>
      <c r="N52">
        <v>1</v>
      </c>
      <c r="O52">
        <f t="shared" si="0"/>
        <v>0.16637931034482759</v>
      </c>
    </row>
    <row r="53" spans="1:15" x14ac:dyDescent="0.3">
      <c r="A53" s="2">
        <v>46257</v>
      </c>
      <c r="B53" t="s">
        <v>14</v>
      </c>
      <c r="C53" t="s">
        <v>83</v>
      </c>
      <c r="D53" t="s">
        <v>222</v>
      </c>
      <c r="E53" t="s">
        <v>223</v>
      </c>
      <c r="F53" t="s">
        <v>224</v>
      </c>
      <c r="G53" t="s">
        <v>59</v>
      </c>
      <c r="H53" t="s">
        <v>60</v>
      </c>
      <c r="I53" t="s">
        <v>21</v>
      </c>
      <c r="J53">
        <v>7</v>
      </c>
      <c r="K53">
        <v>1.61</v>
      </c>
      <c r="L53" t="s">
        <v>156</v>
      </c>
      <c r="M53" t="s">
        <v>62</v>
      </c>
      <c r="N53">
        <v>0</v>
      </c>
      <c r="O53">
        <f t="shared" si="0"/>
        <v>-1</v>
      </c>
    </row>
    <row r="54" spans="1:15" x14ac:dyDescent="0.3">
      <c r="A54" s="2">
        <v>46257</v>
      </c>
      <c r="B54" t="s">
        <v>14</v>
      </c>
      <c r="C54" t="s">
        <v>152</v>
      </c>
      <c r="D54" t="s">
        <v>225</v>
      </c>
      <c r="E54" t="s">
        <v>226</v>
      </c>
      <c r="F54" t="s">
        <v>227</v>
      </c>
      <c r="G54" t="s">
        <v>59</v>
      </c>
      <c r="H54" t="s">
        <v>60</v>
      </c>
      <c r="I54" t="s">
        <v>21</v>
      </c>
      <c r="J54">
        <v>5.7</v>
      </c>
      <c r="K54">
        <v>1.59</v>
      </c>
      <c r="L54" t="s">
        <v>161</v>
      </c>
      <c r="M54" t="s">
        <v>23</v>
      </c>
      <c r="N54">
        <v>1</v>
      </c>
      <c r="O54">
        <f t="shared" si="0"/>
        <v>0.2053191489361702</v>
      </c>
    </row>
    <row r="55" spans="1:15" x14ac:dyDescent="0.3">
      <c r="A55" s="2">
        <v>46257</v>
      </c>
      <c r="B55" t="s">
        <v>14</v>
      </c>
      <c r="C55" t="s">
        <v>228</v>
      </c>
      <c r="D55" t="s">
        <v>229</v>
      </c>
      <c r="E55" t="s">
        <v>230</v>
      </c>
      <c r="F55" t="s">
        <v>231</v>
      </c>
      <c r="G55" t="s">
        <v>59</v>
      </c>
      <c r="H55" t="s">
        <v>60</v>
      </c>
      <c r="I55" t="s">
        <v>21</v>
      </c>
      <c r="J55">
        <v>7.2</v>
      </c>
      <c r="K55">
        <v>1.61</v>
      </c>
      <c r="L55" t="s">
        <v>232</v>
      </c>
      <c r="M55" t="s">
        <v>23</v>
      </c>
      <c r="N55">
        <v>1</v>
      </c>
      <c r="O55">
        <f t="shared" si="0"/>
        <v>0.15564516129032258</v>
      </c>
    </row>
    <row r="56" spans="1:15" x14ac:dyDescent="0.3">
      <c r="A56" s="2">
        <v>46257</v>
      </c>
      <c r="B56" t="s">
        <v>14</v>
      </c>
      <c r="C56" t="s">
        <v>91</v>
      </c>
      <c r="D56" t="s">
        <v>233</v>
      </c>
      <c r="E56" t="s">
        <v>234</v>
      </c>
      <c r="F56" t="s">
        <v>235</v>
      </c>
      <c r="G56" t="s">
        <v>59</v>
      </c>
      <c r="H56" t="s">
        <v>60</v>
      </c>
      <c r="I56" t="s">
        <v>21</v>
      </c>
      <c r="J56">
        <v>8.4</v>
      </c>
      <c r="K56">
        <v>1.48</v>
      </c>
      <c r="L56" t="s">
        <v>141</v>
      </c>
      <c r="M56" t="s">
        <v>23</v>
      </c>
      <c r="N56">
        <v>1</v>
      </c>
      <c r="O56">
        <f t="shared" si="0"/>
        <v>0.13040540540540541</v>
      </c>
    </row>
    <row r="57" spans="1:15" x14ac:dyDescent="0.3">
      <c r="A57" s="2">
        <v>46257</v>
      </c>
      <c r="B57" t="s">
        <v>14</v>
      </c>
      <c r="C57" t="s">
        <v>236</v>
      </c>
      <c r="D57" t="s">
        <v>237</v>
      </c>
      <c r="E57" t="s">
        <v>238</v>
      </c>
      <c r="F57" t="s">
        <v>239</v>
      </c>
      <c r="G57" t="s">
        <v>59</v>
      </c>
      <c r="H57" t="s">
        <v>60</v>
      </c>
      <c r="I57" t="s">
        <v>21</v>
      </c>
      <c r="J57">
        <v>8.6</v>
      </c>
      <c r="K57">
        <v>1.5</v>
      </c>
      <c r="L57" t="s">
        <v>194</v>
      </c>
      <c r="M57" t="s">
        <v>23</v>
      </c>
      <c r="N57">
        <v>1</v>
      </c>
      <c r="O57">
        <f t="shared" si="0"/>
        <v>0.12697368421052632</v>
      </c>
    </row>
    <row r="58" spans="1:15" x14ac:dyDescent="0.3">
      <c r="A58" s="2">
        <v>46257</v>
      </c>
      <c r="B58" t="s">
        <v>14</v>
      </c>
      <c r="C58" t="s">
        <v>240</v>
      </c>
      <c r="D58" t="s">
        <v>241</v>
      </c>
      <c r="E58" t="s">
        <v>242</v>
      </c>
      <c r="F58" t="s">
        <v>243</v>
      </c>
      <c r="G58" t="s">
        <v>59</v>
      </c>
      <c r="H58" t="s">
        <v>60</v>
      </c>
      <c r="I58" t="s">
        <v>21</v>
      </c>
      <c r="J58">
        <v>7</v>
      </c>
      <c r="K58">
        <v>1.5</v>
      </c>
      <c r="L58" t="s">
        <v>71</v>
      </c>
      <c r="M58" t="s">
        <v>23</v>
      </c>
      <c r="N58">
        <v>1</v>
      </c>
      <c r="O58">
        <f t="shared" si="0"/>
        <v>0.16083333333333333</v>
      </c>
    </row>
    <row r="59" spans="1:15" x14ac:dyDescent="0.3">
      <c r="A59" s="2">
        <v>46257</v>
      </c>
      <c r="B59" t="s">
        <v>14</v>
      </c>
      <c r="C59" t="s">
        <v>51</v>
      </c>
      <c r="D59" t="s">
        <v>244</v>
      </c>
      <c r="E59" t="s">
        <v>245</v>
      </c>
      <c r="F59" t="s">
        <v>246</v>
      </c>
      <c r="G59" t="s">
        <v>59</v>
      </c>
      <c r="H59" t="s">
        <v>60</v>
      </c>
      <c r="I59" t="s">
        <v>21</v>
      </c>
      <c r="J59">
        <v>8</v>
      </c>
      <c r="K59">
        <v>1.44</v>
      </c>
      <c r="L59" t="s">
        <v>247</v>
      </c>
      <c r="M59" t="s">
        <v>23</v>
      </c>
      <c r="N59">
        <v>1</v>
      </c>
      <c r="O59">
        <f t="shared" si="0"/>
        <v>0.13785714285714284</v>
      </c>
    </row>
    <row r="60" spans="1:15" x14ac:dyDescent="0.3">
      <c r="A60" s="2">
        <v>46257</v>
      </c>
      <c r="B60" t="s">
        <v>14</v>
      </c>
      <c r="C60" t="s">
        <v>157</v>
      </c>
      <c r="D60" t="s">
        <v>216</v>
      </c>
      <c r="E60" t="s">
        <v>217</v>
      </c>
      <c r="F60" t="s">
        <v>218</v>
      </c>
      <c r="G60" t="s">
        <v>59</v>
      </c>
      <c r="H60" t="s">
        <v>60</v>
      </c>
      <c r="I60" t="s">
        <v>21</v>
      </c>
      <c r="J60">
        <v>9.6</v>
      </c>
      <c r="K60">
        <v>1.37</v>
      </c>
      <c r="L60" t="s">
        <v>42</v>
      </c>
      <c r="M60" t="s">
        <v>23</v>
      </c>
      <c r="N60">
        <v>1</v>
      </c>
      <c r="O60">
        <f t="shared" si="0"/>
        <v>0.11220930232558139</v>
      </c>
    </row>
    <row r="61" spans="1:15" x14ac:dyDescent="0.3">
      <c r="A61" s="2">
        <v>46257</v>
      </c>
      <c r="B61" t="s">
        <v>14</v>
      </c>
      <c r="C61" t="s">
        <v>51</v>
      </c>
      <c r="D61" t="s">
        <v>248</v>
      </c>
      <c r="E61" t="s">
        <v>249</v>
      </c>
      <c r="F61" t="s">
        <v>250</v>
      </c>
      <c r="G61" t="s">
        <v>59</v>
      </c>
      <c r="H61" t="s">
        <v>60</v>
      </c>
      <c r="I61" t="s">
        <v>21</v>
      </c>
      <c r="J61">
        <v>6.4</v>
      </c>
      <c r="K61">
        <v>1.61</v>
      </c>
      <c r="L61" t="s">
        <v>251</v>
      </c>
      <c r="M61" t="s">
        <v>23</v>
      </c>
      <c r="N61">
        <v>1</v>
      </c>
      <c r="O61">
        <f t="shared" si="0"/>
        <v>0.1787037037037037</v>
      </c>
    </row>
    <row r="62" spans="1:15" x14ac:dyDescent="0.3">
      <c r="A62" s="2">
        <v>46257</v>
      </c>
      <c r="B62" t="s">
        <v>14</v>
      </c>
      <c r="C62" t="s">
        <v>252</v>
      </c>
      <c r="D62" t="s">
        <v>253</v>
      </c>
      <c r="E62" t="s">
        <v>254</v>
      </c>
      <c r="F62" t="s">
        <v>255</v>
      </c>
      <c r="G62" t="s">
        <v>170</v>
      </c>
      <c r="H62" t="s">
        <v>171</v>
      </c>
      <c r="I62" t="s">
        <v>21</v>
      </c>
      <c r="J62">
        <v>18</v>
      </c>
      <c r="K62">
        <v>2.36</v>
      </c>
      <c r="L62" t="s">
        <v>156</v>
      </c>
      <c r="M62" t="s">
        <v>23</v>
      </c>
      <c r="N62">
        <v>1</v>
      </c>
      <c r="O62">
        <f t="shared" si="0"/>
        <v>5.6764705882352939E-2</v>
      </c>
    </row>
    <row r="63" spans="1:15" x14ac:dyDescent="0.3">
      <c r="A63" s="2">
        <v>46258</v>
      </c>
      <c r="B63" t="s">
        <v>14</v>
      </c>
      <c r="C63" t="s">
        <v>256</v>
      </c>
      <c r="D63" t="s">
        <v>257</v>
      </c>
      <c r="E63" t="s">
        <v>258</v>
      </c>
      <c r="F63" t="s">
        <v>259</v>
      </c>
      <c r="G63" t="s">
        <v>19</v>
      </c>
      <c r="H63" t="s">
        <v>20</v>
      </c>
      <c r="I63" t="s">
        <v>21</v>
      </c>
      <c r="J63">
        <v>5.4</v>
      </c>
      <c r="K63">
        <v>1.37</v>
      </c>
      <c r="L63" t="s">
        <v>22</v>
      </c>
      <c r="M63" t="s">
        <v>23</v>
      </c>
      <c r="N63">
        <v>1</v>
      </c>
      <c r="O63">
        <f t="shared" si="0"/>
        <v>0.2193181818181818</v>
      </c>
    </row>
    <row r="64" spans="1:15" x14ac:dyDescent="0.3">
      <c r="A64" s="2">
        <v>46258</v>
      </c>
      <c r="B64" t="s">
        <v>14</v>
      </c>
      <c r="C64" t="s">
        <v>252</v>
      </c>
      <c r="D64" t="s">
        <v>260</v>
      </c>
      <c r="E64" t="s">
        <v>261</v>
      </c>
      <c r="F64" t="s">
        <v>262</v>
      </c>
      <c r="G64" t="s">
        <v>19</v>
      </c>
      <c r="H64" t="s">
        <v>20</v>
      </c>
      <c r="I64" t="s">
        <v>21</v>
      </c>
      <c r="J64">
        <v>5.4</v>
      </c>
      <c r="K64">
        <v>1.39</v>
      </c>
      <c r="L64" t="s">
        <v>22</v>
      </c>
      <c r="M64" t="s">
        <v>23</v>
      </c>
      <c r="N64">
        <v>1</v>
      </c>
      <c r="O64">
        <f t="shared" si="0"/>
        <v>0.2193181818181818</v>
      </c>
    </row>
    <row r="65" spans="1:15" x14ac:dyDescent="0.3">
      <c r="A65" s="2">
        <v>46258</v>
      </c>
      <c r="B65" t="s">
        <v>14</v>
      </c>
      <c r="C65" t="s">
        <v>24</v>
      </c>
      <c r="D65" t="s">
        <v>263</v>
      </c>
      <c r="E65" t="s">
        <v>264</v>
      </c>
      <c r="F65" t="s">
        <v>265</v>
      </c>
      <c r="G65" t="s">
        <v>59</v>
      </c>
      <c r="H65" t="s">
        <v>60</v>
      </c>
      <c r="I65" t="s">
        <v>21</v>
      </c>
      <c r="J65">
        <v>7</v>
      </c>
      <c r="K65">
        <v>1.51</v>
      </c>
      <c r="L65" t="s">
        <v>151</v>
      </c>
      <c r="M65" t="s">
        <v>23</v>
      </c>
      <c r="N65">
        <v>1</v>
      </c>
      <c r="O65">
        <f t="shared" si="0"/>
        <v>0.16083333333333333</v>
      </c>
    </row>
    <row r="66" spans="1:15" x14ac:dyDescent="0.3">
      <c r="A66" s="2">
        <v>46258</v>
      </c>
      <c r="B66" t="s">
        <v>14</v>
      </c>
      <c r="C66" t="s">
        <v>76</v>
      </c>
      <c r="D66" t="s">
        <v>266</v>
      </c>
      <c r="E66" t="s">
        <v>267</v>
      </c>
      <c r="F66" t="s">
        <v>268</v>
      </c>
      <c r="G66" t="s">
        <v>59</v>
      </c>
      <c r="H66" t="s">
        <v>60</v>
      </c>
      <c r="I66" t="s">
        <v>21</v>
      </c>
      <c r="J66">
        <v>6.8</v>
      </c>
      <c r="K66">
        <v>1.52</v>
      </c>
      <c r="L66" t="s">
        <v>269</v>
      </c>
      <c r="M66" t="s">
        <v>23</v>
      </c>
      <c r="N66">
        <v>1</v>
      </c>
      <c r="O66">
        <f t="shared" si="0"/>
        <v>0.16637931034482759</v>
      </c>
    </row>
    <row r="67" spans="1:15" x14ac:dyDescent="0.3">
      <c r="A67" s="2">
        <v>46259</v>
      </c>
      <c r="B67" t="s">
        <v>14</v>
      </c>
      <c r="C67" t="s">
        <v>270</v>
      </c>
      <c r="D67" t="s">
        <v>271</v>
      </c>
      <c r="E67" t="s">
        <v>272</v>
      </c>
      <c r="F67" t="s">
        <v>273</v>
      </c>
      <c r="G67" t="s">
        <v>19</v>
      </c>
      <c r="H67" t="s">
        <v>20</v>
      </c>
      <c r="I67" t="s">
        <v>21</v>
      </c>
      <c r="J67">
        <v>5.4</v>
      </c>
      <c r="K67">
        <v>1.36</v>
      </c>
      <c r="L67" t="s">
        <v>22</v>
      </c>
      <c r="M67" t="s">
        <v>23</v>
      </c>
      <c r="N67">
        <v>1</v>
      </c>
      <c r="O67">
        <f t="shared" ref="O67:O130" si="1">IF(N67=1,0.965/(J67-1),-1)</f>
        <v>0.2193181818181818</v>
      </c>
    </row>
    <row r="68" spans="1:15" x14ac:dyDescent="0.3">
      <c r="A68" s="2">
        <v>46259</v>
      </c>
      <c r="B68" t="s">
        <v>14</v>
      </c>
      <c r="C68" t="s">
        <v>24</v>
      </c>
      <c r="D68" t="s">
        <v>274</v>
      </c>
      <c r="E68" t="s">
        <v>275</v>
      </c>
      <c r="F68" t="s">
        <v>27</v>
      </c>
      <c r="G68" t="s">
        <v>19</v>
      </c>
      <c r="H68" t="s">
        <v>20</v>
      </c>
      <c r="I68" t="s">
        <v>21</v>
      </c>
      <c r="J68">
        <v>7.6</v>
      </c>
      <c r="K68">
        <v>10</v>
      </c>
      <c r="L68" t="s">
        <v>276</v>
      </c>
      <c r="M68" t="s">
        <v>23</v>
      </c>
      <c r="N68">
        <v>1</v>
      </c>
      <c r="O68">
        <f t="shared" si="1"/>
        <v>0.14621212121212121</v>
      </c>
    </row>
    <row r="69" spans="1:15" x14ac:dyDescent="0.3">
      <c r="A69" s="2">
        <v>46259</v>
      </c>
      <c r="B69" t="s">
        <v>14</v>
      </c>
      <c r="C69" t="s">
        <v>33</v>
      </c>
      <c r="D69" t="s">
        <v>277</v>
      </c>
      <c r="E69" t="s">
        <v>36</v>
      </c>
      <c r="F69" t="s">
        <v>278</v>
      </c>
      <c r="G69" t="s">
        <v>19</v>
      </c>
      <c r="H69" t="s">
        <v>20</v>
      </c>
      <c r="I69" t="s">
        <v>21</v>
      </c>
      <c r="J69">
        <v>9</v>
      </c>
      <c r="K69">
        <v>1.26</v>
      </c>
      <c r="L69" t="s">
        <v>22</v>
      </c>
      <c r="M69" t="s">
        <v>23</v>
      </c>
      <c r="N69">
        <v>1</v>
      </c>
      <c r="O69">
        <f t="shared" si="1"/>
        <v>0.120625</v>
      </c>
    </row>
    <row r="70" spans="1:15" x14ac:dyDescent="0.3">
      <c r="A70" s="2">
        <v>46259</v>
      </c>
      <c r="B70" t="s">
        <v>14</v>
      </c>
      <c r="C70" t="s">
        <v>279</v>
      </c>
      <c r="D70" t="s">
        <v>280</v>
      </c>
      <c r="E70" t="s">
        <v>281</v>
      </c>
      <c r="F70" t="s">
        <v>282</v>
      </c>
      <c r="G70" t="s">
        <v>59</v>
      </c>
      <c r="H70" t="s">
        <v>60</v>
      </c>
      <c r="I70" t="s">
        <v>21</v>
      </c>
      <c r="J70">
        <v>6.2</v>
      </c>
      <c r="K70">
        <v>1.62</v>
      </c>
      <c r="L70" t="s">
        <v>283</v>
      </c>
      <c r="M70" t="s">
        <v>23</v>
      </c>
      <c r="N70">
        <v>1</v>
      </c>
      <c r="O70">
        <f t="shared" si="1"/>
        <v>0.18557692307692306</v>
      </c>
    </row>
    <row r="71" spans="1:15" x14ac:dyDescent="0.3">
      <c r="A71" s="2">
        <v>46259</v>
      </c>
      <c r="B71" t="s">
        <v>14</v>
      </c>
      <c r="C71" t="s">
        <v>279</v>
      </c>
      <c r="D71" t="s">
        <v>284</v>
      </c>
      <c r="E71" t="s">
        <v>285</v>
      </c>
      <c r="F71" t="s">
        <v>286</v>
      </c>
      <c r="G71" t="s">
        <v>59</v>
      </c>
      <c r="H71" t="s">
        <v>60</v>
      </c>
      <c r="I71" t="s">
        <v>21</v>
      </c>
      <c r="J71">
        <v>6.6</v>
      </c>
      <c r="K71">
        <v>1.61</v>
      </c>
      <c r="L71" t="s">
        <v>151</v>
      </c>
      <c r="M71" t="s">
        <v>23</v>
      </c>
      <c r="N71">
        <v>1</v>
      </c>
      <c r="O71">
        <f t="shared" si="1"/>
        <v>0.17232142857142857</v>
      </c>
    </row>
    <row r="72" spans="1:15" x14ac:dyDescent="0.3">
      <c r="A72" s="2">
        <v>46259</v>
      </c>
      <c r="B72" t="s">
        <v>14</v>
      </c>
      <c r="C72" t="s">
        <v>287</v>
      </c>
      <c r="D72" t="s">
        <v>288</v>
      </c>
      <c r="E72" t="s">
        <v>289</v>
      </c>
      <c r="F72" t="s">
        <v>290</v>
      </c>
      <c r="G72" t="s">
        <v>170</v>
      </c>
      <c r="H72" t="s">
        <v>171</v>
      </c>
      <c r="I72" t="s">
        <v>21</v>
      </c>
      <c r="J72">
        <v>18.5</v>
      </c>
      <c r="K72">
        <v>2.2000000000000002</v>
      </c>
      <c r="L72" t="s">
        <v>75</v>
      </c>
      <c r="M72" t="s">
        <v>23</v>
      </c>
      <c r="N72">
        <v>1</v>
      </c>
      <c r="O72">
        <f t="shared" si="1"/>
        <v>5.5142857142857139E-2</v>
      </c>
    </row>
    <row r="73" spans="1:15" x14ac:dyDescent="0.3">
      <c r="A73" s="2">
        <v>46259</v>
      </c>
      <c r="B73" t="s">
        <v>14</v>
      </c>
      <c r="C73" t="s">
        <v>130</v>
      </c>
      <c r="D73" t="s">
        <v>291</v>
      </c>
      <c r="E73" t="s">
        <v>292</v>
      </c>
      <c r="F73" t="s">
        <v>293</v>
      </c>
      <c r="G73" t="s">
        <v>170</v>
      </c>
      <c r="H73" t="s">
        <v>171</v>
      </c>
      <c r="I73" t="s">
        <v>21</v>
      </c>
      <c r="J73">
        <v>10.5</v>
      </c>
      <c r="K73">
        <v>1.28</v>
      </c>
      <c r="M73" t="s">
        <v>294</v>
      </c>
      <c r="O73">
        <f t="shared" si="1"/>
        <v>-1</v>
      </c>
    </row>
    <row r="74" spans="1:15" x14ac:dyDescent="0.3">
      <c r="A74" s="2">
        <v>46260</v>
      </c>
      <c r="B74" t="s">
        <v>14</v>
      </c>
      <c r="C74" t="s">
        <v>295</v>
      </c>
      <c r="D74" t="s">
        <v>296</v>
      </c>
      <c r="E74" t="s">
        <v>297</v>
      </c>
      <c r="F74" t="s">
        <v>298</v>
      </c>
      <c r="G74" t="s">
        <v>19</v>
      </c>
      <c r="H74" t="s">
        <v>20</v>
      </c>
      <c r="I74" t="s">
        <v>21</v>
      </c>
      <c r="J74">
        <v>8.1999999999999993</v>
      </c>
      <c r="K74">
        <v>1.27</v>
      </c>
      <c r="L74" t="s">
        <v>22</v>
      </c>
      <c r="M74" t="s">
        <v>23</v>
      </c>
      <c r="N74">
        <v>1</v>
      </c>
      <c r="O74">
        <f t="shared" si="1"/>
        <v>0.13402777777777777</v>
      </c>
    </row>
    <row r="75" spans="1:15" x14ac:dyDescent="0.3">
      <c r="A75" s="2">
        <v>46260</v>
      </c>
      <c r="B75" t="s">
        <v>14</v>
      </c>
      <c r="C75" t="s">
        <v>270</v>
      </c>
      <c r="D75" t="s">
        <v>299</v>
      </c>
      <c r="E75" t="s">
        <v>300</v>
      </c>
      <c r="F75" t="s">
        <v>301</v>
      </c>
      <c r="G75" t="s">
        <v>19</v>
      </c>
      <c r="H75" t="s">
        <v>20</v>
      </c>
      <c r="I75" t="s">
        <v>21</v>
      </c>
      <c r="J75">
        <v>6.4</v>
      </c>
      <c r="K75">
        <v>1.28</v>
      </c>
      <c r="L75" t="s">
        <v>22</v>
      </c>
      <c r="M75" t="s">
        <v>23</v>
      </c>
      <c r="N75">
        <v>1</v>
      </c>
      <c r="O75">
        <f t="shared" si="1"/>
        <v>0.1787037037037037</v>
      </c>
    </row>
    <row r="76" spans="1:15" x14ac:dyDescent="0.3">
      <c r="A76" s="2">
        <v>46260</v>
      </c>
      <c r="B76" t="s">
        <v>14</v>
      </c>
      <c r="C76" t="s">
        <v>279</v>
      </c>
      <c r="D76" t="s">
        <v>302</v>
      </c>
      <c r="E76" t="s">
        <v>303</v>
      </c>
      <c r="F76" t="s">
        <v>304</v>
      </c>
      <c r="G76" t="s">
        <v>19</v>
      </c>
      <c r="H76" t="s">
        <v>20</v>
      </c>
      <c r="I76" t="s">
        <v>21</v>
      </c>
      <c r="J76">
        <v>6</v>
      </c>
      <c r="K76">
        <v>1.38</v>
      </c>
      <c r="L76" t="s">
        <v>22</v>
      </c>
      <c r="M76" t="s">
        <v>23</v>
      </c>
      <c r="N76">
        <v>1</v>
      </c>
      <c r="O76">
        <f t="shared" si="1"/>
        <v>0.193</v>
      </c>
    </row>
    <row r="77" spans="1:15" x14ac:dyDescent="0.3">
      <c r="A77" s="2">
        <v>46260</v>
      </c>
      <c r="B77" t="s">
        <v>14</v>
      </c>
      <c r="C77" t="s">
        <v>279</v>
      </c>
      <c r="D77" t="s">
        <v>305</v>
      </c>
      <c r="E77" t="s">
        <v>306</v>
      </c>
      <c r="F77" t="s">
        <v>307</v>
      </c>
      <c r="G77" t="s">
        <v>19</v>
      </c>
      <c r="H77" t="s">
        <v>20</v>
      </c>
      <c r="I77" t="s">
        <v>21</v>
      </c>
      <c r="J77">
        <v>7</v>
      </c>
      <c r="K77">
        <v>1.27</v>
      </c>
      <c r="L77" t="s">
        <v>22</v>
      </c>
      <c r="M77" t="s">
        <v>23</v>
      </c>
      <c r="N77">
        <v>1</v>
      </c>
      <c r="O77">
        <f t="shared" si="1"/>
        <v>0.16083333333333333</v>
      </c>
    </row>
    <row r="78" spans="1:15" x14ac:dyDescent="0.3">
      <c r="A78" s="2">
        <v>46260</v>
      </c>
      <c r="B78" t="s">
        <v>14</v>
      </c>
      <c r="C78" t="s">
        <v>157</v>
      </c>
      <c r="D78" t="s">
        <v>308</v>
      </c>
      <c r="E78" t="s">
        <v>160</v>
      </c>
      <c r="F78" t="s">
        <v>309</v>
      </c>
      <c r="G78" t="s">
        <v>19</v>
      </c>
      <c r="H78" t="s">
        <v>20</v>
      </c>
      <c r="I78" t="s">
        <v>21</v>
      </c>
      <c r="J78">
        <v>6.8</v>
      </c>
      <c r="K78">
        <v>1.3</v>
      </c>
      <c r="L78" t="s">
        <v>22</v>
      </c>
      <c r="M78" t="s">
        <v>23</v>
      </c>
      <c r="N78">
        <v>1</v>
      </c>
      <c r="O78">
        <f t="shared" si="1"/>
        <v>0.16637931034482759</v>
      </c>
    </row>
    <row r="79" spans="1:15" x14ac:dyDescent="0.3">
      <c r="A79" s="2">
        <v>46260</v>
      </c>
      <c r="B79" t="s">
        <v>14</v>
      </c>
      <c r="C79" t="s">
        <v>51</v>
      </c>
      <c r="D79" t="s">
        <v>310</v>
      </c>
      <c r="E79" t="s">
        <v>311</v>
      </c>
      <c r="F79" t="s">
        <v>249</v>
      </c>
      <c r="G79" t="s">
        <v>19</v>
      </c>
      <c r="H79" t="s">
        <v>20</v>
      </c>
      <c r="I79" t="s">
        <v>21</v>
      </c>
      <c r="J79">
        <v>5.9</v>
      </c>
      <c r="K79">
        <v>1.34</v>
      </c>
      <c r="L79" t="s">
        <v>22</v>
      </c>
      <c r="M79" t="s">
        <v>23</v>
      </c>
      <c r="N79">
        <v>1</v>
      </c>
      <c r="O79">
        <f t="shared" si="1"/>
        <v>0.19693877551020406</v>
      </c>
    </row>
    <row r="80" spans="1:15" x14ac:dyDescent="0.3">
      <c r="A80" s="2">
        <v>46260</v>
      </c>
      <c r="B80" t="s">
        <v>14</v>
      </c>
      <c r="C80" t="s">
        <v>287</v>
      </c>
      <c r="D80" t="s">
        <v>312</v>
      </c>
      <c r="E80" t="s">
        <v>313</v>
      </c>
      <c r="F80" t="s">
        <v>314</v>
      </c>
      <c r="G80" t="s">
        <v>19</v>
      </c>
      <c r="H80" t="s">
        <v>20</v>
      </c>
      <c r="I80" t="s">
        <v>21</v>
      </c>
      <c r="J80">
        <v>6.6</v>
      </c>
      <c r="K80">
        <v>2.42</v>
      </c>
      <c r="M80" t="s">
        <v>294</v>
      </c>
      <c r="O80">
        <f t="shared" si="1"/>
        <v>-1</v>
      </c>
    </row>
    <row r="81" spans="1:15" x14ac:dyDescent="0.3">
      <c r="A81" s="2">
        <v>46260</v>
      </c>
      <c r="B81" t="s">
        <v>14</v>
      </c>
      <c r="C81" t="s">
        <v>51</v>
      </c>
      <c r="D81" t="s">
        <v>315</v>
      </c>
      <c r="E81" t="s">
        <v>316</v>
      </c>
      <c r="F81" t="s">
        <v>245</v>
      </c>
      <c r="G81" t="s">
        <v>19</v>
      </c>
      <c r="H81" t="s">
        <v>20</v>
      </c>
      <c r="I81" t="s">
        <v>21</v>
      </c>
      <c r="J81">
        <v>7.2</v>
      </c>
      <c r="K81">
        <v>1.36</v>
      </c>
      <c r="L81" t="s">
        <v>22</v>
      </c>
      <c r="M81" t="s">
        <v>62</v>
      </c>
      <c r="N81">
        <v>0</v>
      </c>
      <c r="O81">
        <f t="shared" si="1"/>
        <v>-1</v>
      </c>
    </row>
    <row r="82" spans="1:15" x14ac:dyDescent="0.3">
      <c r="A82" s="2">
        <v>46260</v>
      </c>
      <c r="B82" t="s">
        <v>14</v>
      </c>
      <c r="C82" t="s">
        <v>317</v>
      </c>
      <c r="D82" t="s">
        <v>318</v>
      </c>
      <c r="E82" t="s">
        <v>319</v>
      </c>
      <c r="F82" t="s">
        <v>292</v>
      </c>
      <c r="G82" t="s">
        <v>19</v>
      </c>
      <c r="H82" t="s">
        <v>20</v>
      </c>
      <c r="I82" t="s">
        <v>21</v>
      </c>
      <c r="J82">
        <v>5.2</v>
      </c>
      <c r="K82">
        <v>1.36</v>
      </c>
      <c r="L82" t="s">
        <v>22</v>
      </c>
      <c r="M82" t="s">
        <v>62</v>
      </c>
      <c r="N82">
        <v>0</v>
      </c>
      <c r="O82">
        <f t="shared" si="1"/>
        <v>-1</v>
      </c>
    </row>
    <row r="83" spans="1:15" x14ac:dyDescent="0.3">
      <c r="A83" s="2">
        <v>46260</v>
      </c>
      <c r="B83" t="s">
        <v>14</v>
      </c>
      <c r="C83" t="s">
        <v>279</v>
      </c>
      <c r="D83" t="s">
        <v>320</v>
      </c>
      <c r="E83" t="s">
        <v>321</v>
      </c>
      <c r="F83" t="s">
        <v>322</v>
      </c>
      <c r="G83" t="s">
        <v>59</v>
      </c>
      <c r="H83" t="s">
        <v>60</v>
      </c>
      <c r="I83" t="s">
        <v>21</v>
      </c>
      <c r="J83">
        <v>7.2</v>
      </c>
      <c r="K83">
        <v>1.55</v>
      </c>
      <c r="L83" t="s">
        <v>28</v>
      </c>
      <c r="M83" t="s">
        <v>23</v>
      </c>
      <c r="N83">
        <v>1</v>
      </c>
      <c r="O83">
        <f t="shared" si="1"/>
        <v>0.15564516129032258</v>
      </c>
    </row>
    <row r="84" spans="1:15" x14ac:dyDescent="0.3">
      <c r="A84" s="2">
        <v>46260</v>
      </c>
      <c r="B84" t="s">
        <v>14</v>
      </c>
      <c r="C84" t="s">
        <v>287</v>
      </c>
      <c r="D84" t="s">
        <v>323</v>
      </c>
      <c r="E84" t="s">
        <v>324</v>
      </c>
      <c r="F84" t="s">
        <v>325</v>
      </c>
      <c r="G84" t="s">
        <v>170</v>
      </c>
      <c r="H84" t="s">
        <v>171</v>
      </c>
      <c r="I84" t="s">
        <v>21</v>
      </c>
      <c r="J84">
        <v>19.5</v>
      </c>
      <c r="K84">
        <v>2.5</v>
      </c>
      <c r="L84" t="s">
        <v>75</v>
      </c>
      <c r="M84" t="s">
        <v>23</v>
      </c>
      <c r="N84">
        <v>1</v>
      </c>
      <c r="O84">
        <f t="shared" si="1"/>
        <v>5.2162162162162164E-2</v>
      </c>
    </row>
    <row r="85" spans="1:15" x14ac:dyDescent="0.3">
      <c r="A85" s="2">
        <v>46261</v>
      </c>
      <c r="B85" t="s">
        <v>14</v>
      </c>
      <c r="C85" t="s">
        <v>326</v>
      </c>
      <c r="D85" t="s">
        <v>327</v>
      </c>
      <c r="E85" t="s">
        <v>328</v>
      </c>
      <c r="F85" t="s">
        <v>329</v>
      </c>
      <c r="G85" t="s">
        <v>19</v>
      </c>
      <c r="H85" t="s">
        <v>20</v>
      </c>
      <c r="I85" t="s">
        <v>21</v>
      </c>
      <c r="J85">
        <v>9.1999999999999993</v>
      </c>
      <c r="K85">
        <v>1.2</v>
      </c>
      <c r="L85" t="s">
        <v>22</v>
      </c>
      <c r="M85" t="s">
        <v>23</v>
      </c>
      <c r="N85">
        <v>1</v>
      </c>
      <c r="O85">
        <f t="shared" si="1"/>
        <v>0.1176829268292683</v>
      </c>
    </row>
    <row r="86" spans="1:15" x14ac:dyDescent="0.3">
      <c r="A86" s="2">
        <v>46261</v>
      </c>
      <c r="B86" t="s">
        <v>14</v>
      </c>
      <c r="C86" t="s">
        <v>326</v>
      </c>
      <c r="D86" t="s">
        <v>330</v>
      </c>
      <c r="E86" t="s">
        <v>331</v>
      </c>
      <c r="F86" t="s">
        <v>332</v>
      </c>
      <c r="G86" t="s">
        <v>19</v>
      </c>
      <c r="H86" t="s">
        <v>20</v>
      </c>
      <c r="I86" t="s">
        <v>21</v>
      </c>
      <c r="J86">
        <v>6.4</v>
      </c>
      <c r="K86">
        <v>1.31</v>
      </c>
      <c r="L86" t="s">
        <v>22</v>
      </c>
      <c r="M86" t="s">
        <v>23</v>
      </c>
      <c r="N86">
        <v>1</v>
      </c>
      <c r="O86">
        <f t="shared" si="1"/>
        <v>0.1787037037037037</v>
      </c>
    </row>
    <row r="87" spans="1:15" x14ac:dyDescent="0.3">
      <c r="A87" s="2">
        <v>46261</v>
      </c>
      <c r="B87" t="s">
        <v>14</v>
      </c>
      <c r="C87" t="s">
        <v>326</v>
      </c>
      <c r="D87" t="s">
        <v>333</v>
      </c>
      <c r="E87" t="s">
        <v>334</v>
      </c>
      <c r="F87" t="s">
        <v>335</v>
      </c>
      <c r="G87" t="s">
        <v>19</v>
      </c>
      <c r="H87" t="s">
        <v>20</v>
      </c>
      <c r="I87" t="s">
        <v>21</v>
      </c>
      <c r="J87">
        <v>6.2</v>
      </c>
      <c r="K87">
        <v>1.32</v>
      </c>
      <c r="L87" t="s">
        <v>22</v>
      </c>
      <c r="M87" t="s">
        <v>23</v>
      </c>
      <c r="N87">
        <v>1</v>
      </c>
      <c r="O87">
        <f t="shared" si="1"/>
        <v>0.18557692307692306</v>
      </c>
    </row>
    <row r="88" spans="1:15" x14ac:dyDescent="0.3">
      <c r="A88" s="2">
        <v>46261</v>
      </c>
      <c r="B88" t="s">
        <v>14</v>
      </c>
      <c r="C88" t="s">
        <v>336</v>
      </c>
      <c r="D88" t="s">
        <v>337</v>
      </c>
      <c r="E88" t="s">
        <v>338</v>
      </c>
      <c r="F88" t="s">
        <v>339</v>
      </c>
      <c r="G88" t="s">
        <v>19</v>
      </c>
      <c r="H88" t="s">
        <v>20</v>
      </c>
      <c r="I88" t="s">
        <v>21</v>
      </c>
      <c r="J88">
        <v>5.4</v>
      </c>
      <c r="K88">
        <v>9.6</v>
      </c>
      <c r="L88" t="s">
        <v>156</v>
      </c>
      <c r="M88" t="s">
        <v>23</v>
      </c>
      <c r="N88">
        <v>1</v>
      </c>
      <c r="O88">
        <f t="shared" si="1"/>
        <v>0.2193181818181818</v>
      </c>
    </row>
    <row r="89" spans="1:15" x14ac:dyDescent="0.3">
      <c r="A89" s="2">
        <v>46261</v>
      </c>
      <c r="B89" t="s">
        <v>14</v>
      </c>
      <c r="C89" t="s">
        <v>336</v>
      </c>
      <c r="D89" t="s">
        <v>340</v>
      </c>
      <c r="E89" t="s">
        <v>341</v>
      </c>
      <c r="F89" t="s">
        <v>342</v>
      </c>
      <c r="G89" t="s">
        <v>19</v>
      </c>
      <c r="H89" t="s">
        <v>20</v>
      </c>
      <c r="I89" t="s">
        <v>21</v>
      </c>
      <c r="J89">
        <v>7.6</v>
      </c>
      <c r="K89">
        <v>1.25</v>
      </c>
      <c r="L89" t="s">
        <v>22</v>
      </c>
      <c r="M89" t="s">
        <v>23</v>
      </c>
      <c r="N89">
        <v>1</v>
      </c>
      <c r="O89">
        <f t="shared" si="1"/>
        <v>0.14621212121212121</v>
      </c>
    </row>
    <row r="90" spans="1:15" x14ac:dyDescent="0.3">
      <c r="A90" s="2">
        <v>46261</v>
      </c>
      <c r="B90" t="s">
        <v>14</v>
      </c>
      <c r="C90" t="s">
        <v>326</v>
      </c>
      <c r="D90" t="s">
        <v>343</v>
      </c>
      <c r="E90" t="s">
        <v>344</v>
      </c>
      <c r="F90" t="s">
        <v>345</v>
      </c>
      <c r="G90" t="s">
        <v>19</v>
      </c>
      <c r="H90" t="s">
        <v>20</v>
      </c>
      <c r="I90" t="s">
        <v>21</v>
      </c>
      <c r="J90">
        <v>6.6</v>
      </c>
      <c r="K90">
        <v>1.36</v>
      </c>
      <c r="L90" t="s">
        <v>22</v>
      </c>
      <c r="M90" t="s">
        <v>23</v>
      </c>
      <c r="N90">
        <v>1</v>
      </c>
      <c r="O90">
        <f t="shared" si="1"/>
        <v>0.17232142857142857</v>
      </c>
    </row>
    <row r="91" spans="1:15" x14ac:dyDescent="0.3">
      <c r="A91" s="2">
        <v>46261</v>
      </c>
      <c r="B91" t="s">
        <v>14</v>
      </c>
      <c r="C91" t="s">
        <v>279</v>
      </c>
      <c r="D91" t="s">
        <v>346</v>
      </c>
      <c r="E91" t="s">
        <v>347</v>
      </c>
      <c r="F91" t="s">
        <v>348</v>
      </c>
      <c r="G91" t="s">
        <v>19</v>
      </c>
      <c r="H91" t="s">
        <v>20</v>
      </c>
      <c r="I91" t="s">
        <v>21</v>
      </c>
      <c r="J91">
        <v>10</v>
      </c>
      <c r="K91">
        <v>1.17</v>
      </c>
      <c r="L91" t="s">
        <v>75</v>
      </c>
      <c r="M91" t="s">
        <v>23</v>
      </c>
      <c r="N91">
        <v>1</v>
      </c>
      <c r="O91">
        <f t="shared" si="1"/>
        <v>0.10722222222222222</v>
      </c>
    </row>
    <row r="92" spans="1:15" x14ac:dyDescent="0.3">
      <c r="A92" s="2">
        <v>46261</v>
      </c>
      <c r="B92" t="s">
        <v>14</v>
      </c>
      <c r="C92" t="s">
        <v>326</v>
      </c>
      <c r="D92" t="s">
        <v>349</v>
      </c>
      <c r="E92" t="s">
        <v>350</v>
      </c>
      <c r="F92" t="s">
        <v>351</v>
      </c>
      <c r="G92" t="s">
        <v>19</v>
      </c>
      <c r="H92" t="s">
        <v>20</v>
      </c>
      <c r="I92" t="s">
        <v>21</v>
      </c>
      <c r="J92">
        <v>7.6</v>
      </c>
      <c r="K92">
        <v>1.23</v>
      </c>
      <c r="L92" t="s">
        <v>22</v>
      </c>
      <c r="M92" t="s">
        <v>23</v>
      </c>
      <c r="N92">
        <v>1</v>
      </c>
      <c r="O92">
        <f t="shared" si="1"/>
        <v>0.14621212121212121</v>
      </c>
    </row>
    <row r="93" spans="1:15" x14ac:dyDescent="0.3">
      <c r="A93" s="2">
        <v>46261</v>
      </c>
      <c r="B93" t="s">
        <v>14</v>
      </c>
      <c r="C93" t="s">
        <v>336</v>
      </c>
      <c r="D93" t="s">
        <v>352</v>
      </c>
      <c r="E93" t="s">
        <v>353</v>
      </c>
      <c r="F93" t="s">
        <v>354</v>
      </c>
      <c r="G93" t="s">
        <v>19</v>
      </c>
      <c r="H93" t="s">
        <v>20</v>
      </c>
      <c r="I93" t="s">
        <v>21</v>
      </c>
      <c r="J93">
        <v>5.6</v>
      </c>
      <c r="K93">
        <v>1.39</v>
      </c>
      <c r="L93" t="s">
        <v>22</v>
      </c>
      <c r="M93" t="s">
        <v>23</v>
      </c>
      <c r="N93">
        <v>1</v>
      </c>
      <c r="O93">
        <f t="shared" si="1"/>
        <v>0.20978260869565218</v>
      </c>
    </row>
    <row r="94" spans="1:15" x14ac:dyDescent="0.3">
      <c r="A94" s="2">
        <v>46261</v>
      </c>
      <c r="B94" t="s">
        <v>14</v>
      </c>
      <c r="C94" t="s">
        <v>51</v>
      </c>
      <c r="D94" t="s">
        <v>355</v>
      </c>
      <c r="E94" t="s">
        <v>250</v>
      </c>
      <c r="F94" t="s">
        <v>356</v>
      </c>
      <c r="G94" t="s">
        <v>19</v>
      </c>
      <c r="H94" t="s">
        <v>20</v>
      </c>
      <c r="I94" t="s">
        <v>21</v>
      </c>
      <c r="J94">
        <v>7.2</v>
      </c>
      <c r="K94">
        <v>1.28</v>
      </c>
      <c r="L94" t="s">
        <v>22</v>
      </c>
      <c r="M94" t="s">
        <v>62</v>
      </c>
      <c r="N94">
        <v>0</v>
      </c>
      <c r="O94">
        <f t="shared" si="1"/>
        <v>-1</v>
      </c>
    </row>
    <row r="95" spans="1:15" x14ac:dyDescent="0.3">
      <c r="A95" s="2">
        <v>46261</v>
      </c>
      <c r="B95" t="s">
        <v>14</v>
      </c>
      <c r="C95" t="s">
        <v>279</v>
      </c>
      <c r="D95" t="s">
        <v>357</v>
      </c>
      <c r="E95" t="s">
        <v>358</v>
      </c>
      <c r="F95" t="s">
        <v>359</v>
      </c>
      <c r="G95" t="s">
        <v>19</v>
      </c>
      <c r="H95" t="s">
        <v>20</v>
      </c>
      <c r="I95" t="s">
        <v>21</v>
      </c>
      <c r="J95">
        <v>7.8</v>
      </c>
      <c r="K95">
        <v>1.24</v>
      </c>
      <c r="L95" t="s">
        <v>22</v>
      </c>
      <c r="M95" t="s">
        <v>23</v>
      </c>
      <c r="N95">
        <v>1</v>
      </c>
      <c r="O95">
        <f t="shared" si="1"/>
        <v>0.14191176470588235</v>
      </c>
    </row>
    <row r="96" spans="1:15" x14ac:dyDescent="0.3">
      <c r="A96" s="2">
        <v>46261</v>
      </c>
      <c r="B96" t="s">
        <v>14</v>
      </c>
      <c r="C96" t="s">
        <v>157</v>
      </c>
      <c r="D96" t="s">
        <v>360</v>
      </c>
      <c r="E96" t="s">
        <v>218</v>
      </c>
      <c r="F96" t="s">
        <v>361</v>
      </c>
      <c r="G96" t="s">
        <v>19</v>
      </c>
      <c r="H96" t="s">
        <v>20</v>
      </c>
      <c r="I96" t="s">
        <v>21</v>
      </c>
      <c r="J96">
        <v>7.8</v>
      </c>
      <c r="K96">
        <v>1.25</v>
      </c>
      <c r="L96" t="s">
        <v>22</v>
      </c>
      <c r="M96" t="s">
        <v>23</v>
      </c>
      <c r="N96">
        <v>1</v>
      </c>
      <c r="O96">
        <f t="shared" si="1"/>
        <v>0.14191176470588235</v>
      </c>
    </row>
    <row r="97" spans="1:15" x14ac:dyDescent="0.3">
      <c r="A97" s="2">
        <v>46261</v>
      </c>
      <c r="B97" t="s">
        <v>14</v>
      </c>
      <c r="C97" t="s">
        <v>336</v>
      </c>
      <c r="D97" t="s">
        <v>337</v>
      </c>
      <c r="E97" t="s">
        <v>338</v>
      </c>
      <c r="F97" t="s">
        <v>339</v>
      </c>
      <c r="G97" t="s">
        <v>59</v>
      </c>
      <c r="H97" t="s">
        <v>60</v>
      </c>
      <c r="I97" t="s">
        <v>21</v>
      </c>
      <c r="J97">
        <v>10</v>
      </c>
      <c r="K97">
        <v>1.4</v>
      </c>
      <c r="L97" t="s">
        <v>156</v>
      </c>
      <c r="M97" t="s">
        <v>62</v>
      </c>
      <c r="N97">
        <v>0</v>
      </c>
      <c r="O97">
        <f t="shared" si="1"/>
        <v>-1</v>
      </c>
    </row>
    <row r="98" spans="1:15" x14ac:dyDescent="0.3">
      <c r="A98" s="2">
        <v>46261</v>
      </c>
      <c r="B98" t="s">
        <v>14</v>
      </c>
      <c r="C98" t="s">
        <v>326</v>
      </c>
      <c r="D98" t="s">
        <v>362</v>
      </c>
      <c r="E98" t="s">
        <v>363</v>
      </c>
      <c r="F98" t="s">
        <v>364</v>
      </c>
      <c r="G98" t="s">
        <v>59</v>
      </c>
      <c r="H98" t="s">
        <v>60</v>
      </c>
      <c r="I98" t="s">
        <v>21</v>
      </c>
      <c r="J98">
        <v>7.6</v>
      </c>
      <c r="K98">
        <v>1.51</v>
      </c>
      <c r="L98" t="s">
        <v>141</v>
      </c>
      <c r="M98" t="s">
        <v>23</v>
      </c>
      <c r="N98">
        <v>1</v>
      </c>
      <c r="O98">
        <f t="shared" si="1"/>
        <v>0.14621212121212121</v>
      </c>
    </row>
    <row r="99" spans="1:15" x14ac:dyDescent="0.3">
      <c r="A99" s="2">
        <v>46261</v>
      </c>
      <c r="B99" t="s">
        <v>14</v>
      </c>
      <c r="C99" t="s">
        <v>336</v>
      </c>
      <c r="D99" t="s">
        <v>365</v>
      </c>
      <c r="E99" t="s">
        <v>366</v>
      </c>
      <c r="F99" t="s">
        <v>367</v>
      </c>
      <c r="G99" t="s">
        <v>59</v>
      </c>
      <c r="H99" t="s">
        <v>60</v>
      </c>
      <c r="I99" t="s">
        <v>21</v>
      </c>
      <c r="J99">
        <v>8</v>
      </c>
      <c r="K99">
        <v>1.44</v>
      </c>
      <c r="L99" t="s">
        <v>283</v>
      </c>
      <c r="M99" t="s">
        <v>23</v>
      </c>
      <c r="N99">
        <v>1</v>
      </c>
      <c r="O99">
        <f t="shared" si="1"/>
        <v>0.13785714285714284</v>
      </c>
    </row>
    <row r="100" spans="1:15" x14ac:dyDescent="0.3">
      <c r="A100" s="2">
        <v>46261</v>
      </c>
      <c r="B100" t="s">
        <v>14</v>
      </c>
      <c r="C100" t="s">
        <v>368</v>
      </c>
      <c r="D100" t="s">
        <v>369</v>
      </c>
      <c r="E100" t="s">
        <v>370</v>
      </c>
      <c r="F100" t="s">
        <v>371</v>
      </c>
      <c r="G100" t="s">
        <v>59</v>
      </c>
      <c r="H100" t="s">
        <v>60</v>
      </c>
      <c r="I100" t="s">
        <v>21</v>
      </c>
      <c r="J100">
        <v>10</v>
      </c>
      <c r="K100">
        <v>1.42</v>
      </c>
      <c r="L100" t="s">
        <v>141</v>
      </c>
      <c r="M100" t="s">
        <v>23</v>
      </c>
      <c r="N100">
        <v>1</v>
      </c>
      <c r="O100">
        <f t="shared" si="1"/>
        <v>0.10722222222222222</v>
      </c>
    </row>
    <row r="101" spans="1:15" x14ac:dyDescent="0.3">
      <c r="A101" s="2">
        <v>46261</v>
      </c>
      <c r="B101" t="s">
        <v>14</v>
      </c>
      <c r="C101" t="s">
        <v>372</v>
      </c>
      <c r="D101" t="s">
        <v>373</v>
      </c>
      <c r="E101" t="s">
        <v>374</v>
      </c>
      <c r="F101" t="s">
        <v>375</v>
      </c>
      <c r="G101" t="s">
        <v>170</v>
      </c>
      <c r="H101" t="s">
        <v>171</v>
      </c>
      <c r="I101" t="s">
        <v>21</v>
      </c>
      <c r="J101">
        <v>18</v>
      </c>
      <c r="K101">
        <v>3.95</v>
      </c>
      <c r="L101" t="s">
        <v>251</v>
      </c>
      <c r="M101" t="s">
        <v>23</v>
      </c>
      <c r="N101">
        <v>1</v>
      </c>
      <c r="O101">
        <f t="shared" si="1"/>
        <v>5.6764705882352939E-2</v>
      </c>
    </row>
    <row r="102" spans="1:15" x14ac:dyDescent="0.3">
      <c r="A102" s="2">
        <v>46262</v>
      </c>
      <c r="B102" t="s">
        <v>14</v>
      </c>
      <c r="C102" t="s">
        <v>24</v>
      </c>
      <c r="D102" t="s">
        <v>376</v>
      </c>
      <c r="E102" t="s">
        <v>377</v>
      </c>
      <c r="F102" t="s">
        <v>378</v>
      </c>
      <c r="G102" t="s">
        <v>19</v>
      </c>
      <c r="H102" t="s">
        <v>20</v>
      </c>
      <c r="I102" t="s">
        <v>21</v>
      </c>
      <c r="J102">
        <v>6.6</v>
      </c>
      <c r="K102">
        <v>11.5</v>
      </c>
      <c r="L102" t="s">
        <v>146</v>
      </c>
      <c r="M102" t="s">
        <v>23</v>
      </c>
      <c r="N102">
        <v>1</v>
      </c>
      <c r="O102">
        <f t="shared" si="1"/>
        <v>0.17232142857142857</v>
      </c>
    </row>
    <row r="103" spans="1:15" x14ac:dyDescent="0.3">
      <c r="A103" s="2">
        <v>46262</v>
      </c>
      <c r="B103" t="s">
        <v>14</v>
      </c>
      <c r="C103" t="s">
        <v>24</v>
      </c>
      <c r="D103" t="s">
        <v>379</v>
      </c>
      <c r="E103" t="s">
        <v>27</v>
      </c>
      <c r="F103" t="s">
        <v>380</v>
      </c>
      <c r="G103" t="s">
        <v>19</v>
      </c>
      <c r="H103" t="s">
        <v>20</v>
      </c>
      <c r="I103" t="s">
        <v>21</v>
      </c>
      <c r="J103">
        <v>6.8</v>
      </c>
      <c r="K103">
        <v>1.29</v>
      </c>
      <c r="L103" t="s">
        <v>22</v>
      </c>
      <c r="M103" t="s">
        <v>23</v>
      </c>
      <c r="N103">
        <v>1</v>
      </c>
      <c r="O103">
        <f t="shared" si="1"/>
        <v>0.16637931034482759</v>
      </c>
    </row>
    <row r="104" spans="1:15" x14ac:dyDescent="0.3">
      <c r="A104" s="2">
        <v>46262</v>
      </c>
      <c r="B104" t="s">
        <v>14</v>
      </c>
      <c r="C104" t="s">
        <v>381</v>
      </c>
      <c r="D104" t="s">
        <v>382</v>
      </c>
      <c r="E104" t="s">
        <v>383</v>
      </c>
      <c r="F104" t="s">
        <v>384</v>
      </c>
      <c r="G104" t="s">
        <v>19</v>
      </c>
      <c r="H104" t="s">
        <v>20</v>
      </c>
      <c r="I104" t="s">
        <v>21</v>
      </c>
      <c r="J104">
        <v>8.4</v>
      </c>
      <c r="K104">
        <v>1.25</v>
      </c>
      <c r="L104" t="s">
        <v>22</v>
      </c>
      <c r="M104" t="s">
        <v>23</v>
      </c>
      <c r="N104">
        <v>1</v>
      </c>
      <c r="O104">
        <f t="shared" si="1"/>
        <v>0.13040540540540541</v>
      </c>
    </row>
    <row r="105" spans="1:15" x14ac:dyDescent="0.3">
      <c r="A105" s="2">
        <v>46262</v>
      </c>
      <c r="B105" t="s">
        <v>14</v>
      </c>
      <c r="C105" t="s">
        <v>67</v>
      </c>
      <c r="D105" t="s">
        <v>385</v>
      </c>
      <c r="E105" t="s">
        <v>70</v>
      </c>
      <c r="F105" t="s">
        <v>386</v>
      </c>
      <c r="G105" t="s">
        <v>19</v>
      </c>
      <c r="H105" t="s">
        <v>20</v>
      </c>
      <c r="I105" t="s">
        <v>21</v>
      </c>
      <c r="J105">
        <v>6.6</v>
      </c>
      <c r="K105">
        <v>1.33</v>
      </c>
      <c r="L105" t="s">
        <v>22</v>
      </c>
      <c r="M105" t="s">
        <v>23</v>
      </c>
      <c r="N105">
        <v>1</v>
      </c>
      <c r="O105">
        <f t="shared" si="1"/>
        <v>0.17232142857142857</v>
      </c>
    </row>
    <row r="106" spans="1:15" x14ac:dyDescent="0.3">
      <c r="A106" s="2">
        <v>46262</v>
      </c>
      <c r="B106" t="s">
        <v>14</v>
      </c>
      <c r="C106" t="s">
        <v>67</v>
      </c>
      <c r="D106" t="s">
        <v>387</v>
      </c>
      <c r="E106" t="s">
        <v>388</v>
      </c>
      <c r="F106" t="s">
        <v>389</v>
      </c>
      <c r="G106" t="s">
        <v>19</v>
      </c>
      <c r="H106" t="s">
        <v>20</v>
      </c>
      <c r="I106" t="s">
        <v>21</v>
      </c>
      <c r="J106">
        <v>8</v>
      </c>
      <c r="K106">
        <v>1.25</v>
      </c>
      <c r="L106" t="s">
        <v>22</v>
      </c>
      <c r="M106" t="s">
        <v>23</v>
      </c>
      <c r="N106">
        <v>1</v>
      </c>
      <c r="O106">
        <f t="shared" si="1"/>
        <v>0.13785714285714284</v>
      </c>
    </row>
    <row r="107" spans="1:15" x14ac:dyDescent="0.3">
      <c r="A107" s="2">
        <v>46262</v>
      </c>
      <c r="B107" t="s">
        <v>14</v>
      </c>
      <c r="C107" t="s">
        <v>390</v>
      </c>
      <c r="D107" t="s">
        <v>391</v>
      </c>
      <c r="E107" t="s">
        <v>392</v>
      </c>
      <c r="F107" t="s">
        <v>393</v>
      </c>
      <c r="G107" t="s">
        <v>19</v>
      </c>
      <c r="H107" t="s">
        <v>20</v>
      </c>
      <c r="I107" t="s">
        <v>21</v>
      </c>
      <c r="J107">
        <v>6.8</v>
      </c>
      <c r="K107">
        <v>1.28</v>
      </c>
      <c r="L107" t="s">
        <v>22</v>
      </c>
      <c r="M107" t="s">
        <v>23</v>
      </c>
      <c r="N107">
        <v>1</v>
      </c>
      <c r="O107">
        <f t="shared" si="1"/>
        <v>0.16637931034482759</v>
      </c>
    </row>
    <row r="108" spans="1:15" x14ac:dyDescent="0.3">
      <c r="A108" s="2">
        <v>46262</v>
      </c>
      <c r="B108" t="s">
        <v>14</v>
      </c>
      <c r="C108" t="s">
        <v>390</v>
      </c>
      <c r="D108" t="s">
        <v>394</v>
      </c>
      <c r="E108" t="s">
        <v>395</v>
      </c>
      <c r="F108" t="s">
        <v>396</v>
      </c>
      <c r="G108" t="s">
        <v>19</v>
      </c>
      <c r="H108" t="s">
        <v>20</v>
      </c>
      <c r="I108" t="s">
        <v>21</v>
      </c>
      <c r="J108">
        <v>5.7</v>
      </c>
      <c r="K108">
        <v>1.4</v>
      </c>
      <c r="L108" t="s">
        <v>22</v>
      </c>
      <c r="M108" t="s">
        <v>23</v>
      </c>
      <c r="N108">
        <v>1</v>
      </c>
      <c r="O108">
        <f t="shared" si="1"/>
        <v>0.2053191489361702</v>
      </c>
    </row>
    <row r="109" spans="1:15" x14ac:dyDescent="0.3">
      <c r="A109" s="2">
        <v>46262</v>
      </c>
      <c r="B109" t="s">
        <v>14</v>
      </c>
      <c r="C109" t="s">
        <v>38</v>
      </c>
      <c r="D109" t="s">
        <v>397</v>
      </c>
      <c r="E109" t="s">
        <v>398</v>
      </c>
      <c r="F109" t="s">
        <v>399</v>
      </c>
      <c r="G109" t="s">
        <v>19</v>
      </c>
      <c r="H109" t="s">
        <v>20</v>
      </c>
      <c r="I109" t="s">
        <v>21</v>
      </c>
      <c r="J109">
        <v>8.6</v>
      </c>
      <c r="K109">
        <v>12.5</v>
      </c>
      <c r="L109" t="s">
        <v>400</v>
      </c>
      <c r="M109" t="s">
        <v>23</v>
      </c>
      <c r="N109">
        <v>1</v>
      </c>
      <c r="O109">
        <f t="shared" si="1"/>
        <v>0.12697368421052632</v>
      </c>
    </row>
    <row r="110" spans="1:15" x14ac:dyDescent="0.3">
      <c r="A110" s="2">
        <v>46262</v>
      </c>
      <c r="B110" t="s">
        <v>14</v>
      </c>
      <c r="C110" t="s">
        <v>38</v>
      </c>
      <c r="D110" t="s">
        <v>401</v>
      </c>
      <c r="E110" t="s">
        <v>41</v>
      </c>
      <c r="F110" t="s">
        <v>402</v>
      </c>
      <c r="G110" t="s">
        <v>19</v>
      </c>
      <c r="H110" t="s">
        <v>20</v>
      </c>
      <c r="I110" t="s">
        <v>21</v>
      </c>
      <c r="J110">
        <v>7</v>
      </c>
      <c r="K110">
        <v>1.28</v>
      </c>
      <c r="L110" t="s">
        <v>22</v>
      </c>
      <c r="M110" t="s">
        <v>23</v>
      </c>
      <c r="N110">
        <v>1</v>
      </c>
      <c r="O110">
        <f t="shared" si="1"/>
        <v>0.16083333333333333</v>
      </c>
    </row>
    <row r="111" spans="1:15" x14ac:dyDescent="0.3">
      <c r="A111" s="2">
        <v>46262</v>
      </c>
      <c r="B111" t="s">
        <v>14</v>
      </c>
      <c r="C111" t="s">
        <v>33</v>
      </c>
      <c r="D111" t="s">
        <v>403</v>
      </c>
      <c r="E111" t="s">
        <v>404</v>
      </c>
      <c r="F111" t="s">
        <v>278</v>
      </c>
      <c r="G111" t="s">
        <v>19</v>
      </c>
      <c r="H111" t="s">
        <v>20</v>
      </c>
      <c r="I111" t="s">
        <v>21</v>
      </c>
      <c r="J111">
        <v>6.8</v>
      </c>
      <c r="K111">
        <v>1.38</v>
      </c>
      <c r="L111" t="s">
        <v>22</v>
      </c>
      <c r="M111" t="s">
        <v>23</v>
      </c>
      <c r="N111">
        <v>1</v>
      </c>
      <c r="O111">
        <f t="shared" si="1"/>
        <v>0.16637931034482759</v>
      </c>
    </row>
    <row r="112" spans="1:15" x14ac:dyDescent="0.3">
      <c r="A112" s="2">
        <v>46262</v>
      </c>
      <c r="B112" t="s">
        <v>14</v>
      </c>
      <c r="C112" t="s">
        <v>122</v>
      </c>
      <c r="D112" t="s">
        <v>405</v>
      </c>
      <c r="E112" t="s">
        <v>406</v>
      </c>
      <c r="F112" t="s">
        <v>124</v>
      </c>
      <c r="G112" t="s">
        <v>19</v>
      </c>
      <c r="H112" t="s">
        <v>20</v>
      </c>
      <c r="I112" t="s">
        <v>21</v>
      </c>
      <c r="J112">
        <v>5.8</v>
      </c>
      <c r="K112">
        <v>11</v>
      </c>
      <c r="L112" t="s">
        <v>28</v>
      </c>
      <c r="M112" t="s">
        <v>23</v>
      </c>
      <c r="N112">
        <v>1</v>
      </c>
      <c r="O112">
        <f t="shared" si="1"/>
        <v>0.20104166666666667</v>
      </c>
    </row>
    <row r="113" spans="1:15" x14ac:dyDescent="0.3">
      <c r="A113" s="2">
        <v>46262</v>
      </c>
      <c r="B113" t="s">
        <v>14</v>
      </c>
      <c r="C113" t="s">
        <v>137</v>
      </c>
      <c r="D113" t="s">
        <v>407</v>
      </c>
      <c r="E113" t="s">
        <v>408</v>
      </c>
      <c r="F113" t="s">
        <v>409</v>
      </c>
      <c r="G113" t="s">
        <v>59</v>
      </c>
      <c r="H113" t="s">
        <v>60</v>
      </c>
      <c r="I113" t="s">
        <v>21</v>
      </c>
      <c r="J113">
        <v>8.1999999999999993</v>
      </c>
      <c r="K113">
        <v>1.43</v>
      </c>
      <c r="L113" t="s">
        <v>161</v>
      </c>
      <c r="M113" t="s">
        <v>23</v>
      </c>
      <c r="N113">
        <v>1</v>
      </c>
      <c r="O113">
        <f t="shared" si="1"/>
        <v>0.13402777777777777</v>
      </c>
    </row>
    <row r="114" spans="1:15" x14ac:dyDescent="0.3">
      <c r="A114" s="2">
        <v>46262</v>
      </c>
      <c r="B114" t="s">
        <v>14</v>
      </c>
      <c r="C114" t="s">
        <v>24</v>
      </c>
      <c r="D114" t="s">
        <v>410</v>
      </c>
      <c r="E114" t="s">
        <v>411</v>
      </c>
      <c r="F114" t="s">
        <v>412</v>
      </c>
      <c r="G114" t="s">
        <v>59</v>
      </c>
      <c r="H114" t="s">
        <v>60</v>
      </c>
      <c r="I114" t="s">
        <v>21</v>
      </c>
      <c r="J114">
        <v>6.8</v>
      </c>
      <c r="K114">
        <v>1.59</v>
      </c>
      <c r="L114" t="s">
        <v>141</v>
      </c>
      <c r="M114" t="s">
        <v>23</v>
      </c>
      <c r="N114">
        <v>1</v>
      </c>
      <c r="O114">
        <f t="shared" si="1"/>
        <v>0.16637931034482759</v>
      </c>
    </row>
    <row r="115" spans="1:15" x14ac:dyDescent="0.3">
      <c r="A115" s="2">
        <v>46262</v>
      </c>
      <c r="B115" t="s">
        <v>14</v>
      </c>
      <c r="C115" t="s">
        <v>173</v>
      </c>
      <c r="D115" t="s">
        <v>413</v>
      </c>
      <c r="E115" t="s">
        <v>414</v>
      </c>
      <c r="F115" t="s">
        <v>415</v>
      </c>
      <c r="G115" t="s">
        <v>170</v>
      </c>
      <c r="H115" t="s">
        <v>171</v>
      </c>
      <c r="I115" t="s">
        <v>21</v>
      </c>
      <c r="J115">
        <v>20</v>
      </c>
      <c r="K115">
        <v>5.6</v>
      </c>
      <c r="L115" t="s">
        <v>283</v>
      </c>
      <c r="M115" t="s">
        <v>23</v>
      </c>
      <c r="N115">
        <v>1</v>
      </c>
      <c r="O115">
        <f t="shared" si="1"/>
        <v>5.0789473684210523E-2</v>
      </c>
    </row>
    <row r="116" spans="1:15" x14ac:dyDescent="0.3">
      <c r="A116" s="2">
        <v>46263</v>
      </c>
      <c r="B116" t="s">
        <v>14</v>
      </c>
      <c r="C116" t="s">
        <v>416</v>
      </c>
      <c r="D116" t="s">
        <v>417</v>
      </c>
      <c r="E116" t="s">
        <v>418</v>
      </c>
      <c r="F116" t="s">
        <v>419</v>
      </c>
      <c r="G116" t="s">
        <v>19</v>
      </c>
      <c r="H116" t="s">
        <v>20</v>
      </c>
      <c r="I116" t="s">
        <v>21</v>
      </c>
      <c r="J116">
        <v>7</v>
      </c>
      <c r="K116">
        <v>1.26</v>
      </c>
      <c r="L116" t="s">
        <v>75</v>
      </c>
      <c r="M116" t="s">
        <v>23</v>
      </c>
      <c r="N116">
        <v>1</v>
      </c>
      <c r="O116">
        <f t="shared" si="1"/>
        <v>0.16083333333333333</v>
      </c>
    </row>
    <row r="117" spans="1:15" x14ac:dyDescent="0.3">
      <c r="A117" s="2">
        <v>46263</v>
      </c>
      <c r="B117" t="s">
        <v>14</v>
      </c>
      <c r="C117" t="s">
        <v>142</v>
      </c>
      <c r="D117" t="s">
        <v>420</v>
      </c>
      <c r="E117" t="s">
        <v>421</v>
      </c>
      <c r="F117" t="s">
        <v>422</v>
      </c>
      <c r="G117" t="s">
        <v>19</v>
      </c>
      <c r="H117" t="s">
        <v>20</v>
      </c>
      <c r="I117" t="s">
        <v>21</v>
      </c>
      <c r="J117">
        <v>6.2</v>
      </c>
      <c r="K117">
        <v>1.39</v>
      </c>
      <c r="L117" t="s">
        <v>423</v>
      </c>
      <c r="M117" t="s">
        <v>23</v>
      </c>
      <c r="N117">
        <v>1</v>
      </c>
      <c r="O117">
        <f t="shared" si="1"/>
        <v>0.18557692307692306</v>
      </c>
    </row>
    <row r="118" spans="1:15" x14ac:dyDescent="0.3">
      <c r="A118" s="2">
        <v>46263</v>
      </c>
      <c r="B118" t="s">
        <v>14</v>
      </c>
      <c r="C118" t="s">
        <v>33</v>
      </c>
      <c r="D118" t="s">
        <v>424</v>
      </c>
      <c r="E118" t="s">
        <v>36</v>
      </c>
      <c r="F118" t="s">
        <v>425</v>
      </c>
      <c r="G118" t="s">
        <v>19</v>
      </c>
      <c r="H118" t="s">
        <v>20</v>
      </c>
      <c r="I118" t="s">
        <v>21</v>
      </c>
      <c r="J118">
        <v>9.8000000000000007</v>
      </c>
      <c r="K118">
        <v>1.2</v>
      </c>
      <c r="L118" t="s">
        <v>156</v>
      </c>
      <c r="M118" t="s">
        <v>23</v>
      </c>
      <c r="N118">
        <v>1</v>
      </c>
      <c r="O118">
        <f t="shared" si="1"/>
        <v>0.1096590909090909</v>
      </c>
    </row>
    <row r="119" spans="1:15" x14ac:dyDescent="0.3">
      <c r="A119" s="2">
        <v>46263</v>
      </c>
      <c r="B119" t="s">
        <v>14</v>
      </c>
      <c r="C119" t="s">
        <v>426</v>
      </c>
      <c r="D119" t="s">
        <v>427</v>
      </c>
      <c r="E119" t="s">
        <v>428</v>
      </c>
      <c r="F119" t="s">
        <v>429</v>
      </c>
      <c r="G119" t="s">
        <v>19</v>
      </c>
      <c r="H119" t="s">
        <v>20</v>
      </c>
      <c r="I119" t="s">
        <v>21</v>
      </c>
      <c r="J119">
        <v>5.9</v>
      </c>
      <c r="K119">
        <v>1.33</v>
      </c>
      <c r="L119" t="s">
        <v>430</v>
      </c>
      <c r="M119" t="s">
        <v>62</v>
      </c>
      <c r="N119">
        <v>0</v>
      </c>
      <c r="O119">
        <f t="shared" si="1"/>
        <v>-1</v>
      </c>
    </row>
    <row r="120" spans="1:15" x14ac:dyDescent="0.3">
      <c r="A120" s="2">
        <v>46263</v>
      </c>
      <c r="B120" t="s">
        <v>14</v>
      </c>
      <c r="C120" t="s">
        <v>431</v>
      </c>
      <c r="D120" t="s">
        <v>432</v>
      </c>
      <c r="E120" t="s">
        <v>433</v>
      </c>
      <c r="F120" t="s">
        <v>434</v>
      </c>
      <c r="G120" t="s">
        <v>19</v>
      </c>
      <c r="H120" t="s">
        <v>20</v>
      </c>
      <c r="I120" t="s">
        <v>21</v>
      </c>
      <c r="J120">
        <v>7</v>
      </c>
      <c r="K120">
        <v>1.27</v>
      </c>
      <c r="L120" t="s">
        <v>435</v>
      </c>
      <c r="M120" t="s">
        <v>23</v>
      </c>
      <c r="N120">
        <v>1</v>
      </c>
      <c r="O120">
        <f t="shared" si="1"/>
        <v>0.16083333333333333</v>
      </c>
    </row>
    <row r="121" spans="1:15" x14ac:dyDescent="0.3">
      <c r="A121" s="2">
        <v>46263</v>
      </c>
      <c r="B121" t="s">
        <v>14</v>
      </c>
      <c r="C121" t="s">
        <v>147</v>
      </c>
      <c r="D121" t="s">
        <v>436</v>
      </c>
      <c r="E121" t="s">
        <v>150</v>
      </c>
      <c r="F121" t="s">
        <v>437</v>
      </c>
      <c r="G121" t="s">
        <v>19</v>
      </c>
      <c r="H121" t="s">
        <v>20</v>
      </c>
      <c r="I121" t="s">
        <v>21</v>
      </c>
      <c r="J121">
        <v>6</v>
      </c>
      <c r="K121">
        <v>1.4</v>
      </c>
      <c r="L121" t="s">
        <v>438</v>
      </c>
      <c r="M121" t="s">
        <v>23</v>
      </c>
      <c r="N121">
        <v>1</v>
      </c>
      <c r="O121">
        <f t="shared" si="1"/>
        <v>0.193</v>
      </c>
    </row>
    <row r="122" spans="1:15" x14ac:dyDescent="0.3">
      <c r="A122" s="2">
        <v>46263</v>
      </c>
      <c r="B122" t="s">
        <v>14</v>
      </c>
      <c r="C122" t="s">
        <v>122</v>
      </c>
      <c r="D122" t="s">
        <v>439</v>
      </c>
      <c r="E122" t="s">
        <v>440</v>
      </c>
      <c r="F122" t="s">
        <v>214</v>
      </c>
      <c r="G122" t="s">
        <v>19</v>
      </c>
      <c r="H122" t="s">
        <v>20</v>
      </c>
      <c r="I122" t="s">
        <v>21</v>
      </c>
      <c r="J122">
        <v>6.4</v>
      </c>
      <c r="K122">
        <v>12.5</v>
      </c>
      <c r="L122" t="s">
        <v>232</v>
      </c>
      <c r="M122" t="s">
        <v>23</v>
      </c>
      <c r="N122">
        <v>1</v>
      </c>
      <c r="O122">
        <f t="shared" si="1"/>
        <v>0.1787037037037037</v>
      </c>
    </row>
    <row r="123" spans="1:15" x14ac:dyDescent="0.3">
      <c r="A123" s="2">
        <v>46263</v>
      </c>
      <c r="B123" t="s">
        <v>14</v>
      </c>
      <c r="C123" t="s">
        <v>63</v>
      </c>
      <c r="D123" t="s">
        <v>441</v>
      </c>
      <c r="E123" t="s">
        <v>66</v>
      </c>
      <c r="F123" t="s">
        <v>442</v>
      </c>
      <c r="G123" t="s">
        <v>19</v>
      </c>
      <c r="H123" t="s">
        <v>20</v>
      </c>
      <c r="I123" t="s">
        <v>21</v>
      </c>
      <c r="J123">
        <v>6.4</v>
      </c>
      <c r="K123">
        <v>1.33</v>
      </c>
      <c r="L123" t="s">
        <v>435</v>
      </c>
      <c r="M123" t="s">
        <v>23</v>
      </c>
      <c r="N123">
        <v>1</v>
      </c>
      <c r="O123">
        <f t="shared" si="1"/>
        <v>0.1787037037037037</v>
      </c>
    </row>
    <row r="124" spans="1:15" x14ac:dyDescent="0.3">
      <c r="A124" s="2">
        <v>46263</v>
      </c>
      <c r="B124" t="s">
        <v>14</v>
      </c>
      <c r="C124" t="s">
        <v>91</v>
      </c>
      <c r="D124" t="s">
        <v>443</v>
      </c>
      <c r="E124" t="s">
        <v>235</v>
      </c>
      <c r="F124" t="s">
        <v>444</v>
      </c>
      <c r="G124" t="s">
        <v>19</v>
      </c>
      <c r="H124" t="s">
        <v>20</v>
      </c>
      <c r="I124" t="s">
        <v>21</v>
      </c>
      <c r="J124">
        <v>6.8</v>
      </c>
      <c r="K124">
        <v>1.26</v>
      </c>
      <c r="L124" t="s">
        <v>75</v>
      </c>
      <c r="M124" t="s">
        <v>23</v>
      </c>
      <c r="N124">
        <v>1</v>
      </c>
      <c r="O124">
        <f t="shared" si="1"/>
        <v>0.16637931034482759</v>
      </c>
    </row>
    <row r="125" spans="1:15" x14ac:dyDescent="0.3">
      <c r="A125" s="2">
        <v>46263</v>
      </c>
      <c r="B125" t="s">
        <v>14</v>
      </c>
      <c r="C125" t="s">
        <v>55</v>
      </c>
      <c r="D125" t="s">
        <v>445</v>
      </c>
      <c r="E125" t="s">
        <v>446</v>
      </c>
      <c r="F125" t="s">
        <v>57</v>
      </c>
      <c r="G125" t="s">
        <v>19</v>
      </c>
      <c r="H125" t="s">
        <v>20</v>
      </c>
      <c r="I125" t="s">
        <v>21</v>
      </c>
      <c r="J125">
        <v>6.8</v>
      </c>
      <c r="K125">
        <v>1.3</v>
      </c>
      <c r="L125" t="s">
        <v>156</v>
      </c>
      <c r="M125" t="s">
        <v>23</v>
      </c>
      <c r="N125">
        <v>1</v>
      </c>
      <c r="O125">
        <f t="shared" si="1"/>
        <v>0.16637931034482759</v>
      </c>
    </row>
    <row r="126" spans="1:15" x14ac:dyDescent="0.3">
      <c r="A126" s="2">
        <v>46263</v>
      </c>
      <c r="B126" t="s">
        <v>14</v>
      </c>
      <c r="C126" t="s">
        <v>252</v>
      </c>
      <c r="D126" t="s">
        <v>447</v>
      </c>
      <c r="E126" t="s">
        <v>448</v>
      </c>
      <c r="F126" t="s">
        <v>449</v>
      </c>
      <c r="G126" t="s">
        <v>19</v>
      </c>
      <c r="H126" t="s">
        <v>20</v>
      </c>
      <c r="I126" t="s">
        <v>21</v>
      </c>
      <c r="J126">
        <v>6.8</v>
      </c>
      <c r="K126">
        <v>1.27</v>
      </c>
      <c r="L126" t="s">
        <v>156</v>
      </c>
      <c r="M126" t="s">
        <v>23</v>
      </c>
      <c r="N126">
        <v>1</v>
      </c>
      <c r="O126">
        <f t="shared" si="1"/>
        <v>0.16637931034482759</v>
      </c>
    </row>
    <row r="127" spans="1:15" x14ac:dyDescent="0.3">
      <c r="A127" s="2">
        <v>46263</v>
      </c>
      <c r="B127" t="s">
        <v>14</v>
      </c>
      <c r="C127" t="s">
        <v>87</v>
      </c>
      <c r="D127" t="s">
        <v>450</v>
      </c>
      <c r="E127" t="s">
        <v>451</v>
      </c>
      <c r="F127" t="s">
        <v>452</v>
      </c>
      <c r="G127" t="s">
        <v>19</v>
      </c>
      <c r="H127" t="s">
        <v>20</v>
      </c>
      <c r="I127" t="s">
        <v>21</v>
      </c>
      <c r="J127">
        <v>5.5</v>
      </c>
      <c r="K127">
        <v>1.34</v>
      </c>
      <c r="L127" t="s">
        <v>453</v>
      </c>
      <c r="M127" t="s">
        <v>23</v>
      </c>
      <c r="N127">
        <v>1</v>
      </c>
      <c r="O127">
        <f t="shared" si="1"/>
        <v>0.21444444444444444</v>
      </c>
    </row>
    <row r="128" spans="1:15" x14ac:dyDescent="0.3">
      <c r="A128" s="2">
        <v>46263</v>
      </c>
      <c r="B128" t="s">
        <v>14</v>
      </c>
      <c r="C128" t="s">
        <v>454</v>
      </c>
      <c r="D128" t="s">
        <v>455</v>
      </c>
      <c r="E128" t="s">
        <v>456</v>
      </c>
      <c r="F128" t="s">
        <v>457</v>
      </c>
      <c r="G128" t="s">
        <v>59</v>
      </c>
      <c r="H128" t="s">
        <v>60</v>
      </c>
      <c r="I128" t="s">
        <v>21</v>
      </c>
      <c r="J128">
        <v>6.2</v>
      </c>
      <c r="K128">
        <v>1.62</v>
      </c>
      <c r="L128" t="s">
        <v>141</v>
      </c>
      <c r="M128" t="s">
        <v>23</v>
      </c>
      <c r="N128">
        <v>1</v>
      </c>
      <c r="O128">
        <f t="shared" si="1"/>
        <v>0.18557692307692306</v>
      </c>
    </row>
    <row r="129" spans="1:15" x14ac:dyDescent="0.3">
      <c r="A129" s="2">
        <v>46263</v>
      </c>
      <c r="B129" t="s">
        <v>14</v>
      </c>
      <c r="C129" t="s">
        <v>381</v>
      </c>
      <c r="D129" t="s">
        <v>458</v>
      </c>
      <c r="E129" t="s">
        <v>459</v>
      </c>
      <c r="F129" t="s">
        <v>460</v>
      </c>
      <c r="G129" t="s">
        <v>59</v>
      </c>
      <c r="H129" t="s">
        <v>60</v>
      </c>
      <c r="I129" t="s">
        <v>21</v>
      </c>
      <c r="J129">
        <v>5.8</v>
      </c>
      <c r="K129">
        <v>1.63</v>
      </c>
      <c r="L129" t="s">
        <v>161</v>
      </c>
      <c r="M129" t="s">
        <v>23</v>
      </c>
      <c r="N129">
        <v>1</v>
      </c>
      <c r="O129">
        <f t="shared" si="1"/>
        <v>0.20104166666666667</v>
      </c>
    </row>
    <row r="130" spans="1:15" x14ac:dyDescent="0.3">
      <c r="A130" s="2">
        <v>46263</v>
      </c>
      <c r="B130" t="s">
        <v>14</v>
      </c>
      <c r="C130" t="s">
        <v>24</v>
      </c>
      <c r="D130" t="s">
        <v>461</v>
      </c>
      <c r="E130" t="s">
        <v>462</v>
      </c>
      <c r="F130" t="s">
        <v>107</v>
      </c>
      <c r="G130" t="s">
        <v>59</v>
      </c>
      <c r="H130" t="s">
        <v>60</v>
      </c>
      <c r="I130" t="s">
        <v>21</v>
      </c>
      <c r="J130">
        <v>9</v>
      </c>
      <c r="K130">
        <v>1.44</v>
      </c>
      <c r="L130" t="s">
        <v>141</v>
      </c>
      <c r="M130" t="s">
        <v>23</v>
      </c>
      <c r="N130">
        <v>1</v>
      </c>
      <c r="O130">
        <f t="shared" si="1"/>
        <v>0.120625</v>
      </c>
    </row>
    <row r="131" spans="1:15" x14ac:dyDescent="0.3">
      <c r="A131" s="2">
        <v>46263</v>
      </c>
      <c r="B131" t="s">
        <v>14</v>
      </c>
      <c r="C131" t="s">
        <v>55</v>
      </c>
      <c r="D131" t="s">
        <v>463</v>
      </c>
      <c r="E131" t="s">
        <v>464</v>
      </c>
      <c r="F131" t="s">
        <v>465</v>
      </c>
      <c r="G131" t="s">
        <v>59</v>
      </c>
      <c r="H131" t="s">
        <v>60</v>
      </c>
      <c r="I131" t="s">
        <v>21</v>
      </c>
      <c r="J131">
        <v>8</v>
      </c>
      <c r="K131">
        <v>1.45</v>
      </c>
      <c r="L131" t="s">
        <v>151</v>
      </c>
      <c r="M131" t="s">
        <v>23</v>
      </c>
      <c r="N131">
        <v>1</v>
      </c>
      <c r="O131">
        <f t="shared" ref="O131:O190" si="2">IF(N131=1,0.965/(J131-1),-1)</f>
        <v>0.13785714285714284</v>
      </c>
    </row>
    <row r="132" spans="1:15" x14ac:dyDescent="0.3">
      <c r="A132" s="2">
        <v>46263</v>
      </c>
      <c r="B132" t="s">
        <v>14</v>
      </c>
      <c r="C132" t="s">
        <v>236</v>
      </c>
      <c r="D132" t="s">
        <v>466</v>
      </c>
      <c r="E132" t="s">
        <v>467</v>
      </c>
      <c r="F132" t="s">
        <v>468</v>
      </c>
      <c r="G132" t="s">
        <v>59</v>
      </c>
      <c r="H132" t="s">
        <v>60</v>
      </c>
      <c r="I132" t="s">
        <v>21</v>
      </c>
      <c r="J132">
        <v>8.4</v>
      </c>
      <c r="K132">
        <v>1.48</v>
      </c>
      <c r="L132" t="s">
        <v>151</v>
      </c>
      <c r="M132" t="s">
        <v>23</v>
      </c>
      <c r="N132">
        <v>1</v>
      </c>
      <c r="O132">
        <f t="shared" si="2"/>
        <v>0.13040540540540541</v>
      </c>
    </row>
    <row r="133" spans="1:15" x14ac:dyDescent="0.3">
      <c r="A133" s="2">
        <v>46263</v>
      </c>
      <c r="B133" t="s">
        <v>14</v>
      </c>
      <c r="C133" t="s">
        <v>126</v>
      </c>
      <c r="D133" t="s">
        <v>469</v>
      </c>
      <c r="E133" t="s">
        <v>470</v>
      </c>
      <c r="F133" t="s">
        <v>135</v>
      </c>
      <c r="G133" t="s">
        <v>59</v>
      </c>
      <c r="H133" t="s">
        <v>60</v>
      </c>
      <c r="I133" t="s">
        <v>21</v>
      </c>
      <c r="J133">
        <v>7.6</v>
      </c>
      <c r="K133">
        <v>1.46</v>
      </c>
      <c r="L133" t="s">
        <v>251</v>
      </c>
      <c r="M133" t="s">
        <v>23</v>
      </c>
      <c r="N133">
        <v>1</v>
      </c>
      <c r="O133">
        <f t="shared" si="2"/>
        <v>0.14621212121212121</v>
      </c>
    </row>
    <row r="134" spans="1:15" x14ac:dyDescent="0.3">
      <c r="A134" s="2">
        <v>46263</v>
      </c>
      <c r="B134" t="s">
        <v>14</v>
      </c>
      <c r="C134" t="s">
        <v>471</v>
      </c>
      <c r="D134" t="s">
        <v>472</v>
      </c>
      <c r="E134" t="s">
        <v>473</v>
      </c>
      <c r="F134" t="s">
        <v>474</v>
      </c>
      <c r="G134" t="s">
        <v>170</v>
      </c>
      <c r="H134" t="s">
        <v>171</v>
      </c>
      <c r="I134" t="s">
        <v>21</v>
      </c>
      <c r="J134">
        <v>18</v>
      </c>
      <c r="K134">
        <v>2.38</v>
      </c>
      <c r="L134" t="s">
        <v>156</v>
      </c>
      <c r="M134" t="s">
        <v>23</v>
      </c>
      <c r="N134">
        <v>1</v>
      </c>
      <c r="O134">
        <f t="shared" si="2"/>
        <v>5.6764705882352939E-2</v>
      </c>
    </row>
    <row r="135" spans="1:15" x14ac:dyDescent="0.3">
      <c r="A135" s="2">
        <v>46263</v>
      </c>
      <c r="B135" t="s">
        <v>14</v>
      </c>
      <c r="C135" t="s">
        <v>15</v>
      </c>
      <c r="D135" t="s">
        <v>475</v>
      </c>
      <c r="E135" t="s">
        <v>476</v>
      </c>
      <c r="F135" t="s">
        <v>477</v>
      </c>
      <c r="G135" t="s">
        <v>170</v>
      </c>
      <c r="H135" t="s">
        <v>171</v>
      </c>
      <c r="I135" t="s">
        <v>21</v>
      </c>
      <c r="J135">
        <v>10.5</v>
      </c>
      <c r="K135">
        <v>1.5</v>
      </c>
      <c r="L135" t="s">
        <v>423</v>
      </c>
      <c r="M135" t="s">
        <v>23</v>
      </c>
      <c r="N135">
        <v>1</v>
      </c>
      <c r="O135">
        <f t="shared" si="2"/>
        <v>0.10157894736842105</v>
      </c>
    </row>
    <row r="136" spans="1:15" x14ac:dyDescent="0.3">
      <c r="A136" s="2">
        <v>46263</v>
      </c>
      <c r="B136" t="s">
        <v>14</v>
      </c>
      <c r="C136" t="s">
        <v>478</v>
      </c>
      <c r="D136" t="s">
        <v>479</v>
      </c>
      <c r="E136" t="s">
        <v>480</v>
      </c>
      <c r="F136" t="s">
        <v>481</v>
      </c>
      <c r="G136" t="s">
        <v>170</v>
      </c>
      <c r="H136" t="s">
        <v>171</v>
      </c>
      <c r="I136" t="s">
        <v>21</v>
      </c>
      <c r="J136">
        <v>18.5</v>
      </c>
      <c r="K136">
        <v>2.82</v>
      </c>
      <c r="L136" t="s">
        <v>430</v>
      </c>
      <c r="M136" t="s">
        <v>23</v>
      </c>
      <c r="N136">
        <v>1</v>
      </c>
      <c r="O136">
        <f t="shared" si="2"/>
        <v>5.5142857142857139E-2</v>
      </c>
    </row>
    <row r="137" spans="1:15" x14ac:dyDescent="0.3">
      <c r="A137" s="2">
        <v>46264</v>
      </c>
      <c r="B137" t="s">
        <v>14</v>
      </c>
      <c r="C137" t="s">
        <v>142</v>
      </c>
      <c r="D137" t="s">
        <v>482</v>
      </c>
      <c r="E137" t="s">
        <v>145</v>
      </c>
      <c r="F137" t="s">
        <v>483</v>
      </c>
      <c r="G137" t="s">
        <v>19</v>
      </c>
      <c r="H137" t="s">
        <v>20</v>
      </c>
      <c r="I137" t="s">
        <v>21</v>
      </c>
      <c r="J137">
        <v>6</v>
      </c>
      <c r="K137">
        <v>1.4</v>
      </c>
      <c r="L137" t="s">
        <v>423</v>
      </c>
      <c r="M137" t="s">
        <v>23</v>
      </c>
      <c r="N137">
        <v>1</v>
      </c>
      <c r="O137">
        <f t="shared" si="2"/>
        <v>0.193</v>
      </c>
    </row>
    <row r="138" spans="1:15" x14ac:dyDescent="0.3">
      <c r="A138" s="2">
        <v>46264</v>
      </c>
      <c r="B138" t="s">
        <v>14</v>
      </c>
      <c r="C138" t="s">
        <v>147</v>
      </c>
      <c r="D138" t="s">
        <v>484</v>
      </c>
      <c r="E138" t="s">
        <v>193</v>
      </c>
      <c r="F138" t="s">
        <v>485</v>
      </c>
      <c r="G138" t="s">
        <v>19</v>
      </c>
      <c r="H138" t="s">
        <v>20</v>
      </c>
      <c r="I138" t="s">
        <v>21</v>
      </c>
      <c r="J138">
        <v>9.1999999999999993</v>
      </c>
      <c r="K138">
        <v>1.2</v>
      </c>
      <c r="L138" t="s">
        <v>71</v>
      </c>
      <c r="M138" t="s">
        <v>62</v>
      </c>
      <c r="N138">
        <v>0</v>
      </c>
      <c r="O138">
        <f t="shared" si="2"/>
        <v>-1</v>
      </c>
    </row>
    <row r="139" spans="1:15" x14ac:dyDescent="0.3">
      <c r="A139" s="2">
        <v>46264</v>
      </c>
      <c r="B139" t="s">
        <v>14</v>
      </c>
      <c r="C139" t="s">
        <v>486</v>
      </c>
      <c r="D139" t="s">
        <v>487</v>
      </c>
      <c r="E139" t="s">
        <v>488</v>
      </c>
      <c r="F139" t="s">
        <v>489</v>
      </c>
      <c r="G139" t="s">
        <v>19</v>
      </c>
      <c r="H139" t="s">
        <v>20</v>
      </c>
      <c r="I139" t="s">
        <v>21</v>
      </c>
      <c r="J139">
        <v>6.8</v>
      </c>
      <c r="K139">
        <v>1.34</v>
      </c>
      <c r="L139" t="s">
        <v>61</v>
      </c>
      <c r="M139" t="s">
        <v>23</v>
      </c>
      <c r="N139">
        <v>1</v>
      </c>
      <c r="O139">
        <f t="shared" si="2"/>
        <v>0.16637931034482759</v>
      </c>
    </row>
    <row r="140" spans="1:15" x14ac:dyDescent="0.3">
      <c r="A140" s="2">
        <v>46264</v>
      </c>
      <c r="B140" t="s">
        <v>14</v>
      </c>
      <c r="C140" t="s">
        <v>15</v>
      </c>
      <c r="D140" t="s">
        <v>490</v>
      </c>
      <c r="E140" t="s">
        <v>491</v>
      </c>
      <c r="F140" t="s">
        <v>492</v>
      </c>
      <c r="G140" t="s">
        <v>19</v>
      </c>
      <c r="H140" t="s">
        <v>20</v>
      </c>
      <c r="I140" t="s">
        <v>21</v>
      </c>
      <c r="J140">
        <v>6</v>
      </c>
      <c r="K140">
        <v>1.33</v>
      </c>
      <c r="L140" t="s">
        <v>75</v>
      </c>
      <c r="M140" t="s">
        <v>23</v>
      </c>
      <c r="N140">
        <v>1</v>
      </c>
      <c r="O140">
        <f t="shared" si="2"/>
        <v>0.193</v>
      </c>
    </row>
    <row r="141" spans="1:15" x14ac:dyDescent="0.3">
      <c r="A141" s="2">
        <v>46264</v>
      </c>
      <c r="B141" t="s">
        <v>14</v>
      </c>
      <c r="C141" t="s">
        <v>486</v>
      </c>
      <c r="D141" t="s">
        <v>493</v>
      </c>
      <c r="E141" t="s">
        <v>494</v>
      </c>
      <c r="F141" t="s">
        <v>495</v>
      </c>
      <c r="G141" t="s">
        <v>19</v>
      </c>
      <c r="H141" t="s">
        <v>20</v>
      </c>
      <c r="I141" t="s">
        <v>21</v>
      </c>
      <c r="J141">
        <v>6.8</v>
      </c>
      <c r="K141">
        <v>1.33</v>
      </c>
      <c r="L141" t="s">
        <v>141</v>
      </c>
      <c r="M141" t="s">
        <v>23</v>
      </c>
      <c r="N141">
        <v>1</v>
      </c>
      <c r="O141">
        <f t="shared" si="2"/>
        <v>0.16637931034482759</v>
      </c>
    </row>
    <row r="142" spans="1:15" x14ac:dyDescent="0.3">
      <c r="A142" s="2">
        <v>46264</v>
      </c>
      <c r="B142" t="s">
        <v>14</v>
      </c>
      <c r="C142" t="s">
        <v>496</v>
      </c>
      <c r="D142" t="s">
        <v>497</v>
      </c>
      <c r="E142" t="s">
        <v>498</v>
      </c>
      <c r="F142" t="s">
        <v>499</v>
      </c>
      <c r="G142" t="s">
        <v>19</v>
      </c>
      <c r="H142" t="s">
        <v>20</v>
      </c>
      <c r="I142" t="s">
        <v>21</v>
      </c>
      <c r="J142">
        <v>7</v>
      </c>
      <c r="K142">
        <v>1.31</v>
      </c>
      <c r="L142" t="s">
        <v>172</v>
      </c>
      <c r="M142" t="s">
        <v>23</v>
      </c>
      <c r="N142">
        <v>1</v>
      </c>
      <c r="O142">
        <f t="shared" si="2"/>
        <v>0.16083333333333333</v>
      </c>
    </row>
    <row r="143" spans="1:15" x14ac:dyDescent="0.3">
      <c r="A143" s="2">
        <v>46264</v>
      </c>
      <c r="B143" t="s">
        <v>14</v>
      </c>
      <c r="C143" t="s">
        <v>43</v>
      </c>
      <c r="D143" t="s">
        <v>500</v>
      </c>
      <c r="E143" t="s">
        <v>74</v>
      </c>
      <c r="F143" t="s">
        <v>501</v>
      </c>
      <c r="G143" t="s">
        <v>19</v>
      </c>
      <c r="H143" t="s">
        <v>20</v>
      </c>
      <c r="I143" t="s">
        <v>21</v>
      </c>
      <c r="J143">
        <v>5.8</v>
      </c>
      <c r="K143">
        <v>1.39</v>
      </c>
      <c r="L143" t="s">
        <v>438</v>
      </c>
      <c r="M143" t="s">
        <v>23</v>
      </c>
      <c r="N143">
        <v>1</v>
      </c>
      <c r="O143">
        <f t="shared" si="2"/>
        <v>0.20104166666666667</v>
      </c>
    </row>
    <row r="144" spans="1:15" x14ac:dyDescent="0.3">
      <c r="A144" s="2">
        <v>46264</v>
      </c>
      <c r="B144" t="s">
        <v>14</v>
      </c>
      <c r="C144" t="s">
        <v>502</v>
      </c>
      <c r="D144" t="s">
        <v>503</v>
      </c>
      <c r="E144" t="s">
        <v>341</v>
      </c>
      <c r="F144" t="s">
        <v>504</v>
      </c>
      <c r="G144" t="s">
        <v>19</v>
      </c>
      <c r="H144" t="s">
        <v>20</v>
      </c>
      <c r="I144" t="s">
        <v>21</v>
      </c>
      <c r="J144">
        <v>5.9</v>
      </c>
      <c r="K144">
        <v>1.4</v>
      </c>
      <c r="L144" t="s">
        <v>61</v>
      </c>
      <c r="M144" t="s">
        <v>23</v>
      </c>
      <c r="N144">
        <v>1</v>
      </c>
      <c r="O144">
        <f t="shared" si="2"/>
        <v>0.19693877551020406</v>
      </c>
    </row>
    <row r="145" spans="1:15" x14ac:dyDescent="0.3">
      <c r="A145" s="2">
        <v>46264</v>
      </c>
      <c r="B145" t="s">
        <v>14</v>
      </c>
      <c r="C145" t="s">
        <v>505</v>
      </c>
      <c r="D145" t="s">
        <v>506</v>
      </c>
      <c r="E145" t="s">
        <v>507</v>
      </c>
      <c r="F145" t="s">
        <v>334</v>
      </c>
      <c r="G145" t="s">
        <v>19</v>
      </c>
      <c r="H145" t="s">
        <v>20</v>
      </c>
      <c r="I145" t="s">
        <v>21</v>
      </c>
      <c r="J145">
        <v>6.6</v>
      </c>
      <c r="K145">
        <v>14</v>
      </c>
      <c r="L145" t="s">
        <v>232</v>
      </c>
      <c r="M145" t="s">
        <v>23</v>
      </c>
      <c r="N145">
        <v>1</v>
      </c>
      <c r="O145">
        <f t="shared" si="2"/>
        <v>0.17232142857142857</v>
      </c>
    </row>
    <row r="146" spans="1:15" x14ac:dyDescent="0.3">
      <c r="A146" s="2">
        <v>46264</v>
      </c>
      <c r="B146" t="s">
        <v>14</v>
      </c>
      <c r="C146" t="s">
        <v>147</v>
      </c>
      <c r="D146" t="s">
        <v>508</v>
      </c>
      <c r="E146" t="s">
        <v>192</v>
      </c>
      <c r="F146" t="s">
        <v>509</v>
      </c>
      <c r="G146" t="s">
        <v>19</v>
      </c>
      <c r="H146" t="s">
        <v>20</v>
      </c>
      <c r="I146" t="s">
        <v>21</v>
      </c>
      <c r="J146">
        <v>6.6</v>
      </c>
      <c r="K146">
        <v>10</v>
      </c>
      <c r="L146" t="s">
        <v>166</v>
      </c>
      <c r="M146" t="s">
        <v>23</v>
      </c>
      <c r="N146">
        <v>1</v>
      </c>
      <c r="O146">
        <f t="shared" si="2"/>
        <v>0.17232142857142857</v>
      </c>
    </row>
    <row r="147" spans="1:15" x14ac:dyDescent="0.3">
      <c r="A147" s="2">
        <v>46264</v>
      </c>
      <c r="B147" t="s">
        <v>14</v>
      </c>
      <c r="C147" t="s">
        <v>95</v>
      </c>
      <c r="D147" t="s">
        <v>510</v>
      </c>
      <c r="E147" t="s">
        <v>511</v>
      </c>
      <c r="F147" t="s">
        <v>97</v>
      </c>
      <c r="G147" t="s">
        <v>19</v>
      </c>
      <c r="H147" t="s">
        <v>20</v>
      </c>
      <c r="I147" t="s">
        <v>21</v>
      </c>
      <c r="J147">
        <v>5.7</v>
      </c>
      <c r="K147">
        <v>12.5</v>
      </c>
      <c r="L147" t="s">
        <v>251</v>
      </c>
      <c r="M147" t="s">
        <v>62</v>
      </c>
      <c r="N147">
        <v>0</v>
      </c>
      <c r="O147">
        <f t="shared" si="2"/>
        <v>-1</v>
      </c>
    </row>
    <row r="148" spans="1:15" x14ac:dyDescent="0.3">
      <c r="A148" s="2">
        <v>46264</v>
      </c>
      <c r="B148" t="s">
        <v>14</v>
      </c>
      <c r="C148" t="s">
        <v>24</v>
      </c>
      <c r="D148" t="s">
        <v>512</v>
      </c>
      <c r="E148" t="s">
        <v>265</v>
      </c>
      <c r="F148" t="s">
        <v>513</v>
      </c>
      <c r="G148" t="s">
        <v>19</v>
      </c>
      <c r="H148" t="s">
        <v>20</v>
      </c>
      <c r="I148" t="s">
        <v>21</v>
      </c>
      <c r="J148">
        <v>9.8000000000000007</v>
      </c>
      <c r="K148">
        <v>1.2</v>
      </c>
      <c r="L148" t="s">
        <v>75</v>
      </c>
      <c r="M148" t="s">
        <v>23</v>
      </c>
      <c r="N148">
        <v>1</v>
      </c>
      <c r="O148">
        <f t="shared" si="2"/>
        <v>0.1096590909090909</v>
      </c>
    </row>
    <row r="149" spans="1:15" x14ac:dyDescent="0.3">
      <c r="A149" s="2">
        <v>46264</v>
      </c>
      <c r="B149" t="s">
        <v>14</v>
      </c>
      <c r="C149" t="s">
        <v>29</v>
      </c>
      <c r="D149" t="s">
        <v>514</v>
      </c>
      <c r="E149" t="s">
        <v>515</v>
      </c>
      <c r="F149" t="s">
        <v>200</v>
      </c>
      <c r="G149" t="s">
        <v>19</v>
      </c>
      <c r="H149" t="s">
        <v>20</v>
      </c>
      <c r="I149" t="s">
        <v>21</v>
      </c>
      <c r="J149">
        <v>6.4</v>
      </c>
      <c r="K149">
        <v>10.5</v>
      </c>
      <c r="L149" t="s">
        <v>71</v>
      </c>
      <c r="M149" t="s">
        <v>62</v>
      </c>
      <c r="N149">
        <v>0</v>
      </c>
      <c r="O149">
        <f t="shared" si="2"/>
        <v>-1</v>
      </c>
    </row>
    <row r="150" spans="1:15" x14ac:dyDescent="0.3">
      <c r="A150" s="2">
        <v>46264</v>
      </c>
      <c r="B150" t="s">
        <v>14</v>
      </c>
      <c r="C150" t="s">
        <v>516</v>
      </c>
      <c r="D150" t="s">
        <v>517</v>
      </c>
      <c r="E150" t="s">
        <v>518</v>
      </c>
      <c r="F150" t="s">
        <v>519</v>
      </c>
      <c r="G150" t="s">
        <v>19</v>
      </c>
      <c r="H150" t="s">
        <v>20</v>
      </c>
      <c r="I150" t="s">
        <v>21</v>
      </c>
      <c r="J150">
        <v>5.8</v>
      </c>
      <c r="K150">
        <v>1.36</v>
      </c>
      <c r="L150" t="s">
        <v>172</v>
      </c>
      <c r="M150" t="s">
        <v>23</v>
      </c>
      <c r="N150">
        <v>1</v>
      </c>
      <c r="O150">
        <f t="shared" si="2"/>
        <v>0.20104166666666667</v>
      </c>
    </row>
    <row r="151" spans="1:15" x14ac:dyDescent="0.3">
      <c r="A151" s="2">
        <v>46264</v>
      </c>
      <c r="B151" t="s">
        <v>14</v>
      </c>
      <c r="C151" t="s">
        <v>520</v>
      </c>
      <c r="D151" t="s">
        <v>521</v>
      </c>
      <c r="E151" t="s">
        <v>522</v>
      </c>
      <c r="F151" t="s">
        <v>523</v>
      </c>
      <c r="G151" t="s">
        <v>19</v>
      </c>
      <c r="H151" t="s">
        <v>20</v>
      </c>
      <c r="I151" t="s">
        <v>21</v>
      </c>
      <c r="J151">
        <v>9.1999999999999993</v>
      </c>
      <c r="K151">
        <v>1.1599999999999999</v>
      </c>
      <c r="L151" t="s">
        <v>75</v>
      </c>
      <c r="M151" t="s">
        <v>23</v>
      </c>
      <c r="N151">
        <v>1</v>
      </c>
      <c r="O151">
        <f t="shared" si="2"/>
        <v>0.1176829268292683</v>
      </c>
    </row>
    <row r="152" spans="1:15" x14ac:dyDescent="0.3">
      <c r="A152" s="2">
        <v>46264</v>
      </c>
      <c r="B152" t="s">
        <v>14</v>
      </c>
      <c r="C152" t="s">
        <v>162</v>
      </c>
      <c r="D152" t="s">
        <v>524</v>
      </c>
      <c r="E152" t="s">
        <v>525</v>
      </c>
      <c r="F152" t="s">
        <v>526</v>
      </c>
      <c r="G152" t="s">
        <v>19</v>
      </c>
      <c r="H152" t="s">
        <v>20</v>
      </c>
      <c r="I152" t="s">
        <v>21</v>
      </c>
      <c r="J152">
        <v>5.6</v>
      </c>
      <c r="K152">
        <v>1.4</v>
      </c>
      <c r="L152" t="s">
        <v>430</v>
      </c>
      <c r="M152" t="s">
        <v>62</v>
      </c>
      <c r="N152">
        <v>0</v>
      </c>
      <c r="O152">
        <f t="shared" si="2"/>
        <v>-1</v>
      </c>
    </row>
    <row r="153" spans="1:15" x14ac:dyDescent="0.3">
      <c r="A153" s="2">
        <v>46264</v>
      </c>
      <c r="B153" t="s">
        <v>14</v>
      </c>
      <c r="C153" t="s">
        <v>527</v>
      </c>
      <c r="D153" t="s">
        <v>528</v>
      </c>
      <c r="E153" t="s">
        <v>529</v>
      </c>
      <c r="F153" t="s">
        <v>530</v>
      </c>
      <c r="G153" t="s">
        <v>19</v>
      </c>
      <c r="H153" t="s">
        <v>20</v>
      </c>
      <c r="I153" t="s">
        <v>21</v>
      </c>
      <c r="J153">
        <v>6.6</v>
      </c>
      <c r="K153">
        <v>1.32</v>
      </c>
      <c r="L153" t="s">
        <v>75</v>
      </c>
      <c r="M153" t="s">
        <v>23</v>
      </c>
      <c r="N153">
        <v>1</v>
      </c>
      <c r="O153">
        <f t="shared" si="2"/>
        <v>0.17232142857142857</v>
      </c>
    </row>
    <row r="154" spans="1:15" x14ac:dyDescent="0.3">
      <c r="A154" s="2">
        <v>46264</v>
      </c>
      <c r="B154" t="s">
        <v>14</v>
      </c>
      <c r="C154" t="s">
        <v>147</v>
      </c>
      <c r="D154" t="s">
        <v>531</v>
      </c>
      <c r="E154" t="s">
        <v>532</v>
      </c>
      <c r="F154" t="s">
        <v>189</v>
      </c>
      <c r="G154" t="s">
        <v>59</v>
      </c>
      <c r="H154" t="s">
        <v>60</v>
      </c>
      <c r="I154" t="s">
        <v>21</v>
      </c>
      <c r="J154">
        <v>5.8</v>
      </c>
      <c r="K154">
        <v>1.6</v>
      </c>
      <c r="L154" t="s">
        <v>161</v>
      </c>
      <c r="M154" t="s">
        <v>23</v>
      </c>
      <c r="N154">
        <v>1</v>
      </c>
      <c r="O154">
        <f t="shared" si="2"/>
        <v>0.20104166666666667</v>
      </c>
    </row>
    <row r="155" spans="1:15" x14ac:dyDescent="0.3">
      <c r="A155" s="2">
        <v>46264</v>
      </c>
      <c r="B155" t="s">
        <v>14</v>
      </c>
      <c r="C155" t="s">
        <v>533</v>
      </c>
      <c r="D155" t="s">
        <v>534</v>
      </c>
      <c r="E155" t="s">
        <v>535</v>
      </c>
      <c r="F155" t="s">
        <v>536</v>
      </c>
      <c r="G155" t="s">
        <v>59</v>
      </c>
      <c r="H155" t="s">
        <v>60</v>
      </c>
      <c r="I155" t="s">
        <v>21</v>
      </c>
      <c r="J155">
        <v>8</v>
      </c>
      <c r="K155">
        <v>1.51</v>
      </c>
      <c r="L155" t="s">
        <v>141</v>
      </c>
      <c r="M155" t="s">
        <v>23</v>
      </c>
      <c r="N155">
        <v>1</v>
      </c>
      <c r="O155">
        <f t="shared" si="2"/>
        <v>0.13785714285714284</v>
      </c>
    </row>
    <row r="156" spans="1:15" x14ac:dyDescent="0.3">
      <c r="A156" s="2">
        <v>46264</v>
      </c>
      <c r="B156" t="s">
        <v>14</v>
      </c>
      <c r="C156" t="s">
        <v>152</v>
      </c>
      <c r="D156" t="s">
        <v>537</v>
      </c>
      <c r="E156" t="s">
        <v>155</v>
      </c>
      <c r="F156" t="s">
        <v>538</v>
      </c>
      <c r="G156" t="s">
        <v>59</v>
      </c>
      <c r="H156" t="s">
        <v>60</v>
      </c>
      <c r="I156" t="s">
        <v>21</v>
      </c>
      <c r="J156">
        <v>7.4</v>
      </c>
      <c r="K156">
        <v>1.56</v>
      </c>
      <c r="L156" t="s">
        <v>251</v>
      </c>
      <c r="M156" t="s">
        <v>23</v>
      </c>
      <c r="N156">
        <v>1</v>
      </c>
      <c r="O156">
        <f t="shared" si="2"/>
        <v>0.15078124999999998</v>
      </c>
    </row>
    <row r="157" spans="1:15" x14ac:dyDescent="0.3">
      <c r="A157" s="2">
        <v>46264</v>
      </c>
      <c r="B157" t="s">
        <v>14</v>
      </c>
      <c r="C157" t="s">
        <v>539</v>
      </c>
      <c r="D157" t="s">
        <v>540</v>
      </c>
      <c r="E157" t="s">
        <v>541</v>
      </c>
      <c r="F157" t="s">
        <v>542</v>
      </c>
      <c r="G157" t="s">
        <v>59</v>
      </c>
      <c r="H157" t="s">
        <v>60</v>
      </c>
      <c r="I157" t="s">
        <v>21</v>
      </c>
      <c r="J157">
        <v>6.8</v>
      </c>
      <c r="K157">
        <v>1.52</v>
      </c>
      <c r="L157" t="s">
        <v>251</v>
      </c>
      <c r="M157" t="s">
        <v>23</v>
      </c>
      <c r="N157">
        <v>1</v>
      </c>
      <c r="O157">
        <f t="shared" si="2"/>
        <v>0.16637931034482759</v>
      </c>
    </row>
    <row r="158" spans="1:15" x14ac:dyDescent="0.3">
      <c r="A158" s="2">
        <v>46264</v>
      </c>
      <c r="B158" t="s">
        <v>14</v>
      </c>
      <c r="C158" t="s">
        <v>543</v>
      </c>
      <c r="D158" t="s">
        <v>544</v>
      </c>
      <c r="E158" t="s">
        <v>545</v>
      </c>
      <c r="F158" t="s">
        <v>546</v>
      </c>
      <c r="G158" t="s">
        <v>59</v>
      </c>
      <c r="H158" t="s">
        <v>60</v>
      </c>
      <c r="I158" t="s">
        <v>21</v>
      </c>
      <c r="J158">
        <v>6.8</v>
      </c>
      <c r="K158">
        <v>1.53</v>
      </c>
      <c r="L158" t="s">
        <v>430</v>
      </c>
      <c r="M158" t="s">
        <v>23</v>
      </c>
      <c r="N158">
        <v>1</v>
      </c>
      <c r="O158">
        <f t="shared" si="2"/>
        <v>0.16637931034482759</v>
      </c>
    </row>
    <row r="159" spans="1:15" x14ac:dyDescent="0.3">
      <c r="A159" s="2">
        <v>46264</v>
      </c>
      <c r="B159" t="s">
        <v>14</v>
      </c>
      <c r="C159" t="s">
        <v>147</v>
      </c>
      <c r="D159" t="s">
        <v>547</v>
      </c>
      <c r="E159" t="s">
        <v>548</v>
      </c>
      <c r="F159" t="s">
        <v>344</v>
      </c>
      <c r="G159" t="s">
        <v>59</v>
      </c>
      <c r="H159" t="s">
        <v>60</v>
      </c>
      <c r="I159" t="s">
        <v>21</v>
      </c>
      <c r="J159">
        <v>6.4</v>
      </c>
      <c r="K159">
        <v>1.55</v>
      </c>
      <c r="L159" t="s">
        <v>151</v>
      </c>
      <c r="M159" t="s">
        <v>23</v>
      </c>
      <c r="N159">
        <v>1</v>
      </c>
      <c r="O159">
        <f t="shared" si="2"/>
        <v>0.1787037037037037</v>
      </c>
    </row>
    <row r="160" spans="1:15" x14ac:dyDescent="0.3">
      <c r="A160" s="2">
        <v>46264</v>
      </c>
      <c r="B160" t="s">
        <v>14</v>
      </c>
      <c r="C160" t="s">
        <v>295</v>
      </c>
      <c r="D160" t="s">
        <v>549</v>
      </c>
      <c r="E160" t="s">
        <v>298</v>
      </c>
      <c r="F160" t="s">
        <v>550</v>
      </c>
      <c r="G160" t="s">
        <v>59</v>
      </c>
      <c r="H160" t="s">
        <v>60</v>
      </c>
      <c r="I160" t="s">
        <v>21</v>
      </c>
      <c r="J160">
        <v>5.7</v>
      </c>
      <c r="K160">
        <v>1.58</v>
      </c>
      <c r="L160" t="s">
        <v>161</v>
      </c>
      <c r="M160" t="s">
        <v>23</v>
      </c>
      <c r="N160">
        <v>1</v>
      </c>
      <c r="O160">
        <f t="shared" si="2"/>
        <v>0.2053191489361702</v>
      </c>
    </row>
    <row r="161" spans="1:15" x14ac:dyDescent="0.3">
      <c r="A161" s="2">
        <v>46264</v>
      </c>
      <c r="B161" t="s">
        <v>14</v>
      </c>
      <c r="C161" t="s">
        <v>295</v>
      </c>
      <c r="D161" t="s">
        <v>551</v>
      </c>
      <c r="E161" t="s">
        <v>552</v>
      </c>
      <c r="F161" t="s">
        <v>297</v>
      </c>
      <c r="G161" t="s">
        <v>59</v>
      </c>
      <c r="H161" t="s">
        <v>60</v>
      </c>
      <c r="I161" t="s">
        <v>21</v>
      </c>
      <c r="J161">
        <v>5.2</v>
      </c>
      <c r="K161">
        <v>1.58</v>
      </c>
      <c r="L161" t="s">
        <v>251</v>
      </c>
      <c r="M161" t="s">
        <v>23</v>
      </c>
      <c r="N161">
        <v>1</v>
      </c>
      <c r="O161">
        <f t="shared" si="2"/>
        <v>0.22976190476190475</v>
      </c>
    </row>
    <row r="162" spans="1:15" x14ac:dyDescent="0.3">
      <c r="A162" s="2">
        <v>46264</v>
      </c>
      <c r="B162" t="s">
        <v>14</v>
      </c>
      <c r="C162" t="s">
        <v>83</v>
      </c>
      <c r="D162" t="s">
        <v>553</v>
      </c>
      <c r="E162" t="s">
        <v>554</v>
      </c>
      <c r="F162" t="s">
        <v>110</v>
      </c>
      <c r="G162" t="s">
        <v>59</v>
      </c>
      <c r="H162" t="s">
        <v>60</v>
      </c>
      <c r="I162" t="s">
        <v>21</v>
      </c>
      <c r="J162">
        <v>6.8</v>
      </c>
      <c r="K162">
        <v>1.61</v>
      </c>
      <c r="L162" t="s">
        <v>141</v>
      </c>
      <c r="M162" t="s">
        <v>23</v>
      </c>
      <c r="N162">
        <v>1</v>
      </c>
      <c r="O162">
        <f t="shared" si="2"/>
        <v>0.16637931034482759</v>
      </c>
    </row>
    <row r="163" spans="1:15" x14ac:dyDescent="0.3">
      <c r="A163" s="2">
        <v>46264</v>
      </c>
      <c r="B163" t="s">
        <v>14</v>
      </c>
      <c r="C163" t="s">
        <v>83</v>
      </c>
      <c r="D163" t="s">
        <v>555</v>
      </c>
      <c r="E163" t="s">
        <v>111</v>
      </c>
      <c r="F163" t="s">
        <v>85</v>
      </c>
      <c r="G163" t="s">
        <v>59</v>
      </c>
      <c r="H163" t="s">
        <v>60</v>
      </c>
      <c r="I163" t="s">
        <v>21</v>
      </c>
      <c r="J163">
        <v>7</v>
      </c>
      <c r="K163">
        <v>1.6</v>
      </c>
      <c r="L163" t="s">
        <v>251</v>
      </c>
      <c r="M163" t="s">
        <v>23</v>
      </c>
      <c r="N163">
        <v>1</v>
      </c>
      <c r="O163">
        <f t="shared" si="2"/>
        <v>0.16083333333333333</v>
      </c>
    </row>
    <row r="164" spans="1:15" x14ac:dyDescent="0.3">
      <c r="A164" s="2">
        <v>46264</v>
      </c>
      <c r="B164" t="s">
        <v>14</v>
      </c>
      <c r="C164" t="s">
        <v>95</v>
      </c>
      <c r="D164" t="s">
        <v>556</v>
      </c>
      <c r="E164" t="s">
        <v>114</v>
      </c>
      <c r="F164" t="s">
        <v>557</v>
      </c>
      <c r="G164" t="s">
        <v>59</v>
      </c>
      <c r="H164" t="s">
        <v>60</v>
      </c>
      <c r="I164" t="s">
        <v>21</v>
      </c>
      <c r="J164">
        <v>6.2</v>
      </c>
      <c r="K164">
        <v>1.65</v>
      </c>
      <c r="L164" t="s">
        <v>161</v>
      </c>
      <c r="M164" t="s">
        <v>23</v>
      </c>
      <c r="N164">
        <v>1</v>
      </c>
      <c r="O164">
        <f t="shared" si="2"/>
        <v>0.18557692307692306</v>
      </c>
    </row>
    <row r="165" spans="1:15" x14ac:dyDescent="0.3">
      <c r="A165" s="2">
        <v>46264</v>
      </c>
      <c r="B165" t="s">
        <v>14</v>
      </c>
      <c r="C165" t="s">
        <v>478</v>
      </c>
      <c r="D165" t="s">
        <v>558</v>
      </c>
      <c r="E165" t="s">
        <v>559</v>
      </c>
      <c r="F165" t="s">
        <v>319</v>
      </c>
      <c r="G165" t="s">
        <v>59</v>
      </c>
      <c r="H165" t="s">
        <v>60</v>
      </c>
      <c r="I165" t="s">
        <v>21</v>
      </c>
      <c r="J165">
        <v>7.6</v>
      </c>
      <c r="K165">
        <v>1.62</v>
      </c>
      <c r="L165" t="s">
        <v>276</v>
      </c>
      <c r="M165" t="s">
        <v>23</v>
      </c>
      <c r="N165">
        <v>1</v>
      </c>
      <c r="O165">
        <f t="shared" si="2"/>
        <v>0.14621212121212121</v>
      </c>
    </row>
    <row r="166" spans="1:15" x14ac:dyDescent="0.3">
      <c r="A166" s="2">
        <v>46264</v>
      </c>
      <c r="B166" t="s">
        <v>14</v>
      </c>
      <c r="C166" t="s">
        <v>95</v>
      </c>
      <c r="D166" t="s">
        <v>560</v>
      </c>
      <c r="E166" t="s">
        <v>561</v>
      </c>
      <c r="F166" t="s">
        <v>113</v>
      </c>
      <c r="G166" t="s">
        <v>59</v>
      </c>
      <c r="H166" t="s">
        <v>60</v>
      </c>
      <c r="I166" t="s">
        <v>21</v>
      </c>
      <c r="J166">
        <v>9.4</v>
      </c>
      <c r="K166">
        <v>1.5</v>
      </c>
      <c r="L166" t="s">
        <v>151</v>
      </c>
      <c r="M166" t="s">
        <v>23</v>
      </c>
      <c r="N166">
        <v>1</v>
      </c>
      <c r="O166">
        <f t="shared" si="2"/>
        <v>0.11488095238095238</v>
      </c>
    </row>
    <row r="167" spans="1:15" x14ac:dyDescent="0.3">
      <c r="A167" s="2">
        <v>46264</v>
      </c>
      <c r="B167" t="s">
        <v>14</v>
      </c>
      <c r="C167" t="s">
        <v>562</v>
      </c>
      <c r="D167" t="s">
        <v>563</v>
      </c>
      <c r="E167" t="s">
        <v>564</v>
      </c>
      <c r="F167" t="s">
        <v>565</v>
      </c>
      <c r="G167" t="s">
        <v>59</v>
      </c>
      <c r="H167" t="s">
        <v>60</v>
      </c>
      <c r="I167" t="s">
        <v>21</v>
      </c>
      <c r="J167">
        <v>8</v>
      </c>
      <c r="K167">
        <v>1.47</v>
      </c>
      <c r="L167" t="s">
        <v>141</v>
      </c>
      <c r="M167" t="s">
        <v>23</v>
      </c>
      <c r="N167">
        <v>1</v>
      </c>
      <c r="O167">
        <f t="shared" si="2"/>
        <v>0.13785714285714284</v>
      </c>
    </row>
    <row r="168" spans="1:15" x14ac:dyDescent="0.3">
      <c r="A168" s="2">
        <v>46264</v>
      </c>
      <c r="B168" t="s">
        <v>14</v>
      </c>
      <c r="C168" t="s">
        <v>63</v>
      </c>
      <c r="D168" t="s">
        <v>566</v>
      </c>
      <c r="E168" t="s">
        <v>567</v>
      </c>
      <c r="F168" t="s">
        <v>116</v>
      </c>
      <c r="G168" t="s">
        <v>59</v>
      </c>
      <c r="H168" t="s">
        <v>60</v>
      </c>
      <c r="I168" t="s">
        <v>21</v>
      </c>
      <c r="J168">
        <v>6.6</v>
      </c>
      <c r="K168">
        <v>1.62</v>
      </c>
      <c r="L168" t="s">
        <v>151</v>
      </c>
      <c r="M168" t="s">
        <v>23</v>
      </c>
      <c r="N168">
        <v>1</v>
      </c>
      <c r="O168">
        <f t="shared" si="2"/>
        <v>0.17232142857142857</v>
      </c>
    </row>
    <row r="169" spans="1:15" x14ac:dyDescent="0.3">
      <c r="A169" s="2">
        <v>46264</v>
      </c>
      <c r="B169" t="s">
        <v>14</v>
      </c>
      <c r="C169" t="s">
        <v>91</v>
      </c>
      <c r="D169" t="s">
        <v>568</v>
      </c>
      <c r="E169" t="s">
        <v>569</v>
      </c>
      <c r="F169" t="s">
        <v>93</v>
      </c>
      <c r="G169" t="s">
        <v>59</v>
      </c>
      <c r="H169" t="s">
        <v>60</v>
      </c>
      <c r="I169" t="s">
        <v>21</v>
      </c>
      <c r="J169">
        <v>9.6</v>
      </c>
      <c r="K169">
        <v>1.44</v>
      </c>
      <c r="L169" t="s">
        <v>141</v>
      </c>
      <c r="M169" t="s">
        <v>23</v>
      </c>
      <c r="N169">
        <v>1</v>
      </c>
      <c r="O169">
        <f t="shared" si="2"/>
        <v>0.11220930232558139</v>
      </c>
    </row>
    <row r="170" spans="1:15" x14ac:dyDescent="0.3">
      <c r="A170" s="2">
        <v>46265</v>
      </c>
      <c r="B170" t="s">
        <v>14</v>
      </c>
      <c r="C170" t="s">
        <v>505</v>
      </c>
      <c r="D170" t="s">
        <v>570</v>
      </c>
      <c r="E170" t="s">
        <v>571</v>
      </c>
      <c r="F170" t="s">
        <v>572</v>
      </c>
      <c r="G170" t="s">
        <v>19</v>
      </c>
      <c r="H170" t="s">
        <v>20</v>
      </c>
      <c r="I170" t="s">
        <v>21</v>
      </c>
      <c r="J170">
        <v>9</v>
      </c>
      <c r="K170">
        <v>1.2</v>
      </c>
      <c r="L170" t="s">
        <v>22</v>
      </c>
      <c r="M170" t="s">
        <v>62</v>
      </c>
      <c r="N170">
        <v>0</v>
      </c>
      <c r="O170">
        <f t="shared" si="2"/>
        <v>-1</v>
      </c>
    </row>
    <row r="171" spans="1:15" x14ac:dyDescent="0.3">
      <c r="A171" s="2">
        <v>46265</v>
      </c>
      <c r="B171" t="s">
        <v>14</v>
      </c>
      <c r="C171" t="s">
        <v>539</v>
      </c>
      <c r="D171" t="s">
        <v>573</v>
      </c>
      <c r="E171" t="s">
        <v>331</v>
      </c>
      <c r="F171" t="s">
        <v>574</v>
      </c>
      <c r="G171" t="s">
        <v>19</v>
      </c>
      <c r="H171" t="s">
        <v>20</v>
      </c>
      <c r="I171" t="s">
        <v>21</v>
      </c>
      <c r="J171">
        <v>6</v>
      </c>
      <c r="K171">
        <v>1.36</v>
      </c>
      <c r="L171" t="s">
        <v>22</v>
      </c>
      <c r="M171" t="s">
        <v>23</v>
      </c>
      <c r="N171">
        <v>1</v>
      </c>
      <c r="O171">
        <f t="shared" si="2"/>
        <v>0.193</v>
      </c>
    </row>
    <row r="172" spans="1:15" x14ac:dyDescent="0.3">
      <c r="A172" s="2">
        <v>46265</v>
      </c>
      <c r="B172" t="s">
        <v>14</v>
      </c>
      <c r="C172" t="s">
        <v>162</v>
      </c>
      <c r="D172" t="s">
        <v>575</v>
      </c>
      <c r="E172" t="s">
        <v>576</v>
      </c>
      <c r="F172" t="s">
        <v>577</v>
      </c>
      <c r="G172" t="s">
        <v>19</v>
      </c>
      <c r="H172" t="s">
        <v>20</v>
      </c>
      <c r="I172" t="s">
        <v>21</v>
      </c>
      <c r="J172">
        <v>5.5</v>
      </c>
      <c r="K172">
        <v>1.4</v>
      </c>
      <c r="L172" t="s">
        <v>22</v>
      </c>
      <c r="M172" t="s">
        <v>23</v>
      </c>
      <c r="N172">
        <v>1</v>
      </c>
      <c r="O172">
        <f t="shared" si="2"/>
        <v>0.21444444444444444</v>
      </c>
    </row>
    <row r="173" spans="1:15" x14ac:dyDescent="0.3">
      <c r="A173" s="2">
        <v>46265</v>
      </c>
      <c r="B173" t="s">
        <v>14</v>
      </c>
      <c r="C173" t="s">
        <v>38</v>
      </c>
      <c r="D173" t="s">
        <v>578</v>
      </c>
      <c r="E173" t="s">
        <v>579</v>
      </c>
      <c r="F173" t="s">
        <v>580</v>
      </c>
      <c r="G173" t="s">
        <v>59</v>
      </c>
      <c r="H173" t="s">
        <v>60</v>
      </c>
      <c r="I173" t="s">
        <v>21</v>
      </c>
      <c r="J173">
        <v>6</v>
      </c>
      <c r="K173">
        <v>1.64</v>
      </c>
      <c r="L173" t="s">
        <v>22</v>
      </c>
      <c r="M173" t="s">
        <v>23</v>
      </c>
      <c r="N173">
        <v>1</v>
      </c>
      <c r="O173">
        <f t="shared" si="2"/>
        <v>0.193</v>
      </c>
    </row>
    <row r="174" spans="1:15" x14ac:dyDescent="0.3">
      <c r="A174" s="2">
        <v>46265</v>
      </c>
      <c r="B174" t="s">
        <v>14</v>
      </c>
      <c r="C174" t="s">
        <v>173</v>
      </c>
      <c r="D174" t="s">
        <v>581</v>
      </c>
      <c r="E174" t="s">
        <v>582</v>
      </c>
      <c r="F174" t="s">
        <v>583</v>
      </c>
      <c r="G174" t="s">
        <v>59</v>
      </c>
      <c r="H174" t="s">
        <v>60</v>
      </c>
      <c r="I174" t="s">
        <v>21</v>
      </c>
      <c r="J174">
        <v>7.8</v>
      </c>
      <c r="K174">
        <v>1.62</v>
      </c>
      <c r="L174" t="s">
        <v>22</v>
      </c>
      <c r="M174" t="s">
        <v>23</v>
      </c>
      <c r="N174">
        <v>1</v>
      </c>
      <c r="O174">
        <f t="shared" si="2"/>
        <v>0.14191176470588235</v>
      </c>
    </row>
    <row r="175" spans="1:15" x14ac:dyDescent="0.3">
      <c r="A175" s="2">
        <v>46265</v>
      </c>
      <c r="B175" t="s">
        <v>14</v>
      </c>
      <c r="C175" t="s">
        <v>584</v>
      </c>
      <c r="D175" t="s">
        <v>585</v>
      </c>
      <c r="E175" t="s">
        <v>586</v>
      </c>
      <c r="F175" t="s">
        <v>587</v>
      </c>
      <c r="G175" t="s">
        <v>59</v>
      </c>
      <c r="H175" t="s">
        <v>60</v>
      </c>
      <c r="I175" t="s">
        <v>21</v>
      </c>
      <c r="J175">
        <v>7</v>
      </c>
      <c r="K175">
        <v>1.47</v>
      </c>
      <c r="L175" t="s">
        <v>22</v>
      </c>
      <c r="M175" t="s">
        <v>23</v>
      </c>
      <c r="N175">
        <v>1</v>
      </c>
      <c r="O175">
        <f t="shared" si="2"/>
        <v>0.16083333333333333</v>
      </c>
    </row>
    <row r="176" spans="1:15" x14ac:dyDescent="0.3">
      <c r="A176" s="2">
        <v>46265</v>
      </c>
      <c r="B176" t="s">
        <v>14</v>
      </c>
      <c r="C176" t="s">
        <v>95</v>
      </c>
      <c r="D176" t="s">
        <v>588</v>
      </c>
      <c r="E176" t="s">
        <v>589</v>
      </c>
      <c r="F176" t="s">
        <v>590</v>
      </c>
      <c r="G176" t="s">
        <v>59</v>
      </c>
      <c r="H176" t="s">
        <v>60</v>
      </c>
      <c r="I176" t="s">
        <v>21</v>
      </c>
      <c r="J176">
        <v>6.6</v>
      </c>
      <c r="K176">
        <v>1.65</v>
      </c>
      <c r="L176" t="s">
        <v>22</v>
      </c>
      <c r="M176" t="s">
        <v>23</v>
      </c>
      <c r="N176">
        <v>1</v>
      </c>
      <c r="O176">
        <f t="shared" si="2"/>
        <v>0.17232142857142857</v>
      </c>
    </row>
    <row r="177" spans="1:15" x14ac:dyDescent="0.3">
      <c r="A177" s="2">
        <v>46265</v>
      </c>
      <c r="B177" t="s">
        <v>14</v>
      </c>
      <c r="C177" t="s">
        <v>91</v>
      </c>
      <c r="D177" t="s">
        <v>591</v>
      </c>
      <c r="E177" t="s">
        <v>592</v>
      </c>
      <c r="F177" t="s">
        <v>593</v>
      </c>
      <c r="G177" t="s">
        <v>59</v>
      </c>
      <c r="H177" t="s">
        <v>60</v>
      </c>
      <c r="I177" t="s">
        <v>21</v>
      </c>
      <c r="J177">
        <v>8.4</v>
      </c>
      <c r="K177">
        <v>1.5</v>
      </c>
      <c r="L177" t="s">
        <v>22</v>
      </c>
      <c r="M177" t="s">
        <v>23</v>
      </c>
      <c r="N177">
        <v>1</v>
      </c>
      <c r="O177">
        <f t="shared" si="2"/>
        <v>0.13040540540540541</v>
      </c>
    </row>
    <row r="178" spans="1:15" x14ac:dyDescent="0.3">
      <c r="A178" s="2">
        <v>46265</v>
      </c>
      <c r="B178" t="s">
        <v>14</v>
      </c>
      <c r="C178" t="s">
        <v>43</v>
      </c>
      <c r="D178" t="s">
        <v>594</v>
      </c>
      <c r="E178" t="s">
        <v>595</v>
      </c>
      <c r="F178" t="s">
        <v>45</v>
      </c>
      <c r="G178" t="s">
        <v>59</v>
      </c>
      <c r="H178" t="s">
        <v>60</v>
      </c>
      <c r="I178" t="s">
        <v>21</v>
      </c>
      <c r="J178">
        <v>7.2</v>
      </c>
      <c r="K178">
        <v>1.54</v>
      </c>
      <c r="L178" t="s">
        <v>22</v>
      </c>
      <c r="M178" t="s">
        <v>23</v>
      </c>
      <c r="N178">
        <v>1</v>
      </c>
      <c r="O178">
        <f t="shared" si="2"/>
        <v>0.15564516129032258</v>
      </c>
    </row>
    <row r="179" spans="1:15" x14ac:dyDescent="0.3">
      <c r="A179" s="2">
        <v>46265</v>
      </c>
      <c r="B179" t="s">
        <v>14</v>
      </c>
      <c r="C179" t="s">
        <v>287</v>
      </c>
      <c r="D179" t="s">
        <v>596</v>
      </c>
      <c r="E179" t="s">
        <v>597</v>
      </c>
      <c r="F179" t="s">
        <v>598</v>
      </c>
      <c r="G179" t="s">
        <v>170</v>
      </c>
      <c r="H179" t="s">
        <v>171</v>
      </c>
      <c r="I179" t="s">
        <v>21</v>
      </c>
      <c r="J179">
        <v>18.5</v>
      </c>
      <c r="K179">
        <v>1.6</v>
      </c>
      <c r="L179" t="s">
        <v>22</v>
      </c>
      <c r="M179" t="s">
        <v>23</v>
      </c>
      <c r="N179">
        <v>1</v>
      </c>
      <c r="O179">
        <f t="shared" si="2"/>
        <v>5.5142857142857139E-2</v>
      </c>
    </row>
    <row r="180" spans="1:15" x14ac:dyDescent="0.3">
      <c r="A180" s="2">
        <v>46266</v>
      </c>
      <c r="B180" t="s">
        <v>14</v>
      </c>
      <c r="C180" t="s">
        <v>270</v>
      </c>
      <c r="D180" t="s">
        <v>599</v>
      </c>
      <c r="E180" t="s">
        <v>600</v>
      </c>
      <c r="F180" t="s">
        <v>272</v>
      </c>
      <c r="G180" t="s">
        <v>19</v>
      </c>
      <c r="H180" t="s">
        <v>20</v>
      </c>
      <c r="I180" t="s">
        <v>21</v>
      </c>
      <c r="J180">
        <v>5.2</v>
      </c>
      <c r="K180">
        <v>11.5</v>
      </c>
      <c r="L180" t="s">
        <v>22</v>
      </c>
      <c r="M180" t="s">
        <v>23</v>
      </c>
      <c r="N180">
        <v>1</v>
      </c>
      <c r="O180">
        <f t="shared" si="2"/>
        <v>0.22976190476190475</v>
      </c>
    </row>
    <row r="181" spans="1:15" x14ac:dyDescent="0.3">
      <c r="A181" s="2">
        <v>46266</v>
      </c>
      <c r="B181" t="s">
        <v>14</v>
      </c>
      <c r="C181" t="s">
        <v>29</v>
      </c>
      <c r="D181" t="s">
        <v>601</v>
      </c>
      <c r="E181" t="s">
        <v>207</v>
      </c>
      <c r="F181" t="s">
        <v>32</v>
      </c>
      <c r="G181" t="s">
        <v>19</v>
      </c>
      <c r="H181" t="s">
        <v>20</v>
      </c>
      <c r="I181" t="s">
        <v>21</v>
      </c>
      <c r="J181">
        <v>8.8000000000000007</v>
      </c>
      <c r="K181">
        <v>1.18</v>
      </c>
      <c r="L181" t="s">
        <v>22</v>
      </c>
      <c r="M181" t="s">
        <v>23</v>
      </c>
      <c r="N181">
        <v>1</v>
      </c>
      <c r="O181">
        <f t="shared" si="2"/>
        <v>0.12371794871794871</v>
      </c>
    </row>
    <row r="182" spans="1:15" x14ac:dyDescent="0.3">
      <c r="A182" s="2">
        <v>46266</v>
      </c>
      <c r="B182" t="s">
        <v>14</v>
      </c>
      <c r="C182" t="s">
        <v>228</v>
      </c>
      <c r="D182" t="s">
        <v>602</v>
      </c>
      <c r="E182" t="s">
        <v>230</v>
      </c>
      <c r="F182" t="s">
        <v>603</v>
      </c>
      <c r="G182" t="s">
        <v>59</v>
      </c>
      <c r="H182" t="s">
        <v>60</v>
      </c>
      <c r="I182" t="s">
        <v>21</v>
      </c>
      <c r="J182">
        <v>7.4</v>
      </c>
      <c r="K182">
        <v>1.53</v>
      </c>
      <c r="L182" t="s">
        <v>22</v>
      </c>
      <c r="M182" t="s">
        <v>23</v>
      </c>
      <c r="N182">
        <v>1</v>
      </c>
      <c r="O182">
        <f t="shared" si="2"/>
        <v>0.15078124999999998</v>
      </c>
    </row>
    <row r="183" spans="1:15" x14ac:dyDescent="0.3">
      <c r="A183" s="2">
        <v>46266</v>
      </c>
      <c r="B183" t="s">
        <v>14</v>
      </c>
      <c r="C183" t="s">
        <v>502</v>
      </c>
      <c r="D183" t="s">
        <v>604</v>
      </c>
      <c r="E183" t="s">
        <v>605</v>
      </c>
      <c r="F183" t="s">
        <v>606</v>
      </c>
      <c r="G183" t="s">
        <v>59</v>
      </c>
      <c r="H183" t="s">
        <v>60</v>
      </c>
      <c r="I183" t="s">
        <v>21</v>
      </c>
      <c r="J183">
        <v>7.4</v>
      </c>
      <c r="K183">
        <v>1.45</v>
      </c>
      <c r="L183" t="s">
        <v>22</v>
      </c>
      <c r="M183" t="s">
        <v>23</v>
      </c>
      <c r="N183">
        <v>1</v>
      </c>
      <c r="O183">
        <f t="shared" si="2"/>
        <v>0.15078124999999998</v>
      </c>
    </row>
    <row r="184" spans="1:15" x14ac:dyDescent="0.3">
      <c r="A184" s="2">
        <v>46266</v>
      </c>
      <c r="B184" t="s">
        <v>14</v>
      </c>
      <c r="C184" t="s">
        <v>184</v>
      </c>
      <c r="D184" t="s">
        <v>607</v>
      </c>
      <c r="E184" t="s">
        <v>608</v>
      </c>
      <c r="F184" t="s">
        <v>186</v>
      </c>
      <c r="G184" t="s">
        <v>59</v>
      </c>
      <c r="H184" t="s">
        <v>60</v>
      </c>
      <c r="I184" t="s">
        <v>21</v>
      </c>
      <c r="J184">
        <v>5.3</v>
      </c>
      <c r="K184">
        <v>1.63</v>
      </c>
      <c r="L184" t="s">
        <v>22</v>
      </c>
      <c r="M184" t="s">
        <v>23</v>
      </c>
      <c r="N184">
        <v>1</v>
      </c>
      <c r="O184">
        <f t="shared" si="2"/>
        <v>0.22441860465116278</v>
      </c>
    </row>
    <row r="185" spans="1:15" x14ac:dyDescent="0.3">
      <c r="A185" s="2">
        <v>46267</v>
      </c>
      <c r="B185" t="s">
        <v>14</v>
      </c>
      <c r="C185" t="s">
        <v>270</v>
      </c>
      <c r="D185" t="s">
        <v>609</v>
      </c>
      <c r="E185" t="s">
        <v>300</v>
      </c>
      <c r="F185" t="s">
        <v>610</v>
      </c>
      <c r="G185" t="s">
        <v>19</v>
      </c>
      <c r="H185" t="s">
        <v>20</v>
      </c>
      <c r="I185" t="s">
        <v>21</v>
      </c>
      <c r="J185">
        <v>7.2</v>
      </c>
      <c r="K185">
        <v>1.24</v>
      </c>
      <c r="L185" t="s">
        <v>75</v>
      </c>
      <c r="M185" t="s">
        <v>23</v>
      </c>
      <c r="N185">
        <v>1</v>
      </c>
      <c r="O185">
        <f t="shared" si="2"/>
        <v>0.15564516129032258</v>
      </c>
    </row>
    <row r="186" spans="1:15" x14ac:dyDescent="0.3">
      <c r="A186" s="2">
        <v>46267</v>
      </c>
      <c r="B186" t="s">
        <v>14</v>
      </c>
      <c r="C186" t="s">
        <v>29</v>
      </c>
      <c r="D186" t="s">
        <v>611</v>
      </c>
      <c r="E186" t="s">
        <v>200</v>
      </c>
      <c r="F186" t="s">
        <v>208</v>
      </c>
      <c r="G186" t="s">
        <v>19</v>
      </c>
      <c r="H186" t="s">
        <v>20</v>
      </c>
      <c r="I186" t="s">
        <v>21</v>
      </c>
      <c r="J186">
        <v>6.4</v>
      </c>
      <c r="K186">
        <v>1.31</v>
      </c>
      <c r="L186" t="s">
        <v>75</v>
      </c>
      <c r="M186" t="s">
        <v>23</v>
      </c>
      <c r="N186">
        <v>1</v>
      </c>
      <c r="O186">
        <f t="shared" si="2"/>
        <v>0.1787037037037037</v>
      </c>
    </row>
    <row r="187" spans="1:15" x14ac:dyDescent="0.3">
      <c r="A187" s="2">
        <v>46267</v>
      </c>
      <c r="B187" t="s">
        <v>14</v>
      </c>
      <c r="C187" t="s">
        <v>431</v>
      </c>
      <c r="D187" t="s">
        <v>612</v>
      </c>
      <c r="E187" t="s">
        <v>433</v>
      </c>
      <c r="F187" t="s">
        <v>613</v>
      </c>
      <c r="G187" t="s">
        <v>19</v>
      </c>
      <c r="H187" t="s">
        <v>20</v>
      </c>
      <c r="I187" t="s">
        <v>21</v>
      </c>
      <c r="J187">
        <v>7.2</v>
      </c>
      <c r="K187">
        <v>1.26</v>
      </c>
      <c r="L187" t="s">
        <v>172</v>
      </c>
      <c r="M187" t="s">
        <v>23</v>
      </c>
      <c r="N187">
        <v>1</v>
      </c>
      <c r="O187">
        <f t="shared" si="2"/>
        <v>0.15564516129032258</v>
      </c>
    </row>
    <row r="188" spans="1:15" x14ac:dyDescent="0.3">
      <c r="A188" s="2">
        <v>46267</v>
      </c>
      <c r="B188" t="s">
        <v>14</v>
      </c>
      <c r="C188" t="s">
        <v>516</v>
      </c>
      <c r="D188" t="s">
        <v>614</v>
      </c>
      <c r="E188" t="s">
        <v>518</v>
      </c>
      <c r="F188" t="s">
        <v>615</v>
      </c>
      <c r="G188" t="s">
        <v>19</v>
      </c>
      <c r="H188" t="s">
        <v>20</v>
      </c>
      <c r="I188" t="s">
        <v>21</v>
      </c>
      <c r="J188">
        <v>7.6</v>
      </c>
      <c r="K188">
        <v>1.23</v>
      </c>
      <c r="L188" t="s">
        <v>75</v>
      </c>
      <c r="M188" t="s">
        <v>23</v>
      </c>
      <c r="N188">
        <v>1</v>
      </c>
      <c r="O188">
        <f t="shared" si="2"/>
        <v>0.14621212121212121</v>
      </c>
    </row>
    <row r="189" spans="1:15" x14ac:dyDescent="0.3">
      <c r="A189" s="2">
        <v>46267</v>
      </c>
      <c r="B189" t="s">
        <v>14</v>
      </c>
      <c r="C189" t="s">
        <v>83</v>
      </c>
      <c r="D189" t="s">
        <v>616</v>
      </c>
      <c r="E189" t="s">
        <v>86</v>
      </c>
      <c r="F189" t="s">
        <v>110</v>
      </c>
      <c r="G189" t="s">
        <v>59</v>
      </c>
      <c r="H189" t="s">
        <v>60</v>
      </c>
      <c r="I189" t="s">
        <v>21</v>
      </c>
      <c r="J189">
        <v>10</v>
      </c>
      <c r="K189">
        <v>1.44</v>
      </c>
      <c r="L189" t="s">
        <v>161</v>
      </c>
      <c r="M189" t="s">
        <v>23</v>
      </c>
      <c r="N189">
        <v>1</v>
      </c>
      <c r="O189">
        <f t="shared" si="2"/>
        <v>0.10722222222222222</v>
      </c>
    </row>
    <row r="190" spans="1:15" x14ac:dyDescent="0.3">
      <c r="A190" s="2">
        <v>46267</v>
      </c>
      <c r="B190" t="s">
        <v>14</v>
      </c>
      <c r="C190" t="s">
        <v>562</v>
      </c>
      <c r="D190" t="s">
        <v>617</v>
      </c>
      <c r="E190" t="s">
        <v>618</v>
      </c>
      <c r="F190" t="s">
        <v>619</v>
      </c>
      <c r="G190" t="s">
        <v>59</v>
      </c>
      <c r="H190" t="s">
        <v>60</v>
      </c>
      <c r="I190" t="s">
        <v>21</v>
      </c>
      <c r="J190">
        <v>5.9</v>
      </c>
      <c r="K190">
        <v>1.64</v>
      </c>
      <c r="L190" t="s">
        <v>151</v>
      </c>
      <c r="M190" t="s">
        <v>23</v>
      </c>
      <c r="N190">
        <v>1</v>
      </c>
      <c r="O190">
        <f t="shared" si="2"/>
        <v>0.19693877551020406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2026-09-03T01:20:34Z</dcterms:created>
  <dcterms:modified xsi:type="dcterms:W3CDTF">2026-09-03T01:27:55Z</dcterms:modified>
</cp:coreProperties>
</file>