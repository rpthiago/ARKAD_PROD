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1" documentId="11_2B59D18754BA3E647B79371159A1B0F24E23FF46" xr6:coauthVersionLast="47" xr6:coauthVersionMax="47" xr10:uidLastSave="{68F3C1F2-941B-41BD-B84A-E96347616DED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2" i="1"/>
</calcChain>
</file>

<file path=xl/sharedStrings.xml><?xml version="1.0" encoding="utf-8"?>
<sst xmlns="http://schemas.openxmlformats.org/spreadsheetml/2006/main" count="67" uniqueCount="37">
  <si>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</si>
  <si>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</si>
  <si>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</si>
  <si>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</si>
  <si>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</si>
  <si>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</si>
  <si>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</si>
  <si>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</si>
  <si>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</si>
  <si>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</si>
  <si>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</si>
  <si>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2026-08-25</t>
  </si>
  <si>
    <t>14:30</t>
  </si>
  <si>
    <t>SOUTH AFRICA 1</t>
  </si>
  <si>
    <t>Orlando Pirates (SA) x Sekhukhune United</t>
  </si>
  <si>
    <t>Lay Under 0.5 FT (Fav)</t>
  </si>
  <si>
    <t>Under 0.5 FT</t>
  </si>
  <si>
    <t>LAY</t>
  </si>
  <si>
    <t>94.3%</t>
  </si>
  <si>
    <t>+3.18%</t>
  </si>
  <si>
    <t>Lay Draw (Fav &lt;= 1.40)</t>
  </si>
  <si>
    <t>Match Odds (Draw)</t>
  </si>
  <si>
    <t>85.8%</t>
  </si>
  <si>
    <t>+3.26%</t>
  </si>
  <si>
    <t>Siwelele FC x Chippa Utd</t>
  </si>
  <si>
    <t>Lay 0x1 Super Fav</t>
  </si>
  <si>
    <t>Correct Score (0x1)</t>
  </si>
  <si>
    <t>94.2%</t>
  </si>
  <si>
    <t>+2.59%</t>
  </si>
  <si>
    <t>16:15</t>
  </si>
  <si>
    <t>ICELAND 2</t>
  </si>
  <si>
    <t>Afturelding x Grotta</t>
  </si>
  <si>
    <t>21:30</t>
  </si>
  <si>
    <t>COPA LIBERTADORES</t>
  </si>
  <si>
    <t>Independiente (Ecu) x Tolima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</si>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</sst>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L1" sqref="L1:M1"/>
    </sheetView>
  </sheetViews>
  <sheetFormatPr defaultRowHeight="14.4" x14ac:dyDescent="0.3"/>
  <cols>
    <col min="1" max="1" width="13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35</v>
      </c>
      <c r="M1" s="2" t="s">
        <v>36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11.55</v>
      </c>
      <c r="I2">
        <v>1.36</v>
      </c>
      <c r="J2" t="s">
        <v>18</v>
      </c>
      <c r="K2" t="s">
        <v>19</v>
      </c>
      <c r="L2">
        <v>1</v>
      </c>
      <c r="M2">
        <f>IF(L2=1,0.965/(H2-1),-1)</f>
        <v>9.1469194312796195E-2</v>
      </c>
    </row>
    <row r="3" spans="1:13" x14ac:dyDescent="0.3">
      <c r="A3" t="s">
        <v>11</v>
      </c>
      <c r="B3" t="s">
        <v>12</v>
      </c>
      <c r="C3" t="s">
        <v>13</v>
      </c>
      <c r="D3" t="s">
        <v>14</v>
      </c>
      <c r="E3" t="s">
        <v>20</v>
      </c>
      <c r="F3" t="s">
        <v>21</v>
      </c>
      <c r="G3" t="s">
        <v>17</v>
      </c>
      <c r="H3">
        <v>4.84</v>
      </c>
      <c r="I3">
        <v>1.36</v>
      </c>
      <c r="J3" t="s">
        <v>22</v>
      </c>
      <c r="K3" t="s">
        <v>23</v>
      </c>
      <c r="L3">
        <v>1</v>
      </c>
      <c r="M3">
        <f t="shared" ref="M3:M7" si="0">IF(L3=1,0.965/(H3-1),-1)</f>
        <v>0.25130208333333331</v>
      </c>
    </row>
    <row r="4" spans="1:13" x14ac:dyDescent="0.3">
      <c r="A4" t="s">
        <v>11</v>
      </c>
      <c r="B4" t="s">
        <v>12</v>
      </c>
      <c r="C4" t="s">
        <v>13</v>
      </c>
      <c r="D4" t="s">
        <v>24</v>
      </c>
      <c r="E4" t="s">
        <v>25</v>
      </c>
      <c r="F4" t="s">
        <v>26</v>
      </c>
      <c r="G4" t="s">
        <v>17</v>
      </c>
      <c r="H4">
        <v>14.5</v>
      </c>
      <c r="I4">
        <v>1.9</v>
      </c>
      <c r="J4" t="s">
        <v>27</v>
      </c>
      <c r="K4" t="s">
        <v>28</v>
      </c>
      <c r="L4">
        <v>1</v>
      </c>
      <c r="M4">
        <f t="shared" si="0"/>
        <v>7.1481481481481479E-2</v>
      </c>
    </row>
    <row r="5" spans="1:13" x14ac:dyDescent="0.3">
      <c r="A5" t="s">
        <v>11</v>
      </c>
      <c r="B5" t="s">
        <v>29</v>
      </c>
      <c r="C5" t="s">
        <v>30</v>
      </c>
      <c r="D5" t="s">
        <v>31</v>
      </c>
      <c r="E5" t="s">
        <v>15</v>
      </c>
      <c r="F5" t="s">
        <v>16</v>
      </c>
      <c r="G5" t="s">
        <v>17</v>
      </c>
      <c r="H5">
        <v>12.6</v>
      </c>
      <c r="I5">
        <v>1.26</v>
      </c>
      <c r="J5" t="s">
        <v>18</v>
      </c>
      <c r="K5" t="s">
        <v>19</v>
      </c>
      <c r="L5">
        <v>1</v>
      </c>
      <c r="M5">
        <f t="shared" si="0"/>
        <v>8.3189655172413793E-2</v>
      </c>
    </row>
    <row r="6" spans="1:13" x14ac:dyDescent="0.3">
      <c r="A6" t="s">
        <v>11</v>
      </c>
      <c r="B6" t="s">
        <v>29</v>
      </c>
      <c r="C6" t="s">
        <v>30</v>
      </c>
      <c r="D6" t="s">
        <v>31</v>
      </c>
      <c r="E6" t="s">
        <v>20</v>
      </c>
      <c r="F6" t="s">
        <v>21</v>
      </c>
      <c r="G6" t="s">
        <v>17</v>
      </c>
      <c r="H6">
        <v>7.62</v>
      </c>
      <c r="I6">
        <v>1.26</v>
      </c>
      <c r="J6" t="s">
        <v>22</v>
      </c>
      <c r="K6" t="s">
        <v>23</v>
      </c>
      <c r="L6">
        <v>1</v>
      </c>
      <c r="M6">
        <f t="shared" si="0"/>
        <v>0.14577039274924469</v>
      </c>
    </row>
    <row r="7" spans="1:13" x14ac:dyDescent="0.3">
      <c r="A7" t="s">
        <v>11</v>
      </c>
      <c r="B7" t="s">
        <v>32</v>
      </c>
      <c r="C7" t="s">
        <v>33</v>
      </c>
      <c r="D7" t="s">
        <v>34</v>
      </c>
      <c r="E7" t="s">
        <v>15</v>
      </c>
      <c r="F7" t="s">
        <v>16</v>
      </c>
      <c r="G7" t="s">
        <v>17</v>
      </c>
      <c r="H7">
        <v>11.55</v>
      </c>
      <c r="I7">
        <v>1.57</v>
      </c>
      <c r="J7" t="s">
        <v>18</v>
      </c>
      <c r="K7" t="s">
        <v>19</v>
      </c>
      <c r="L7">
        <v>1</v>
      </c>
      <c r="M7">
        <f t="shared" si="0"/>
        <v>9.1469194312796195E-2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2026-08-28T21:09:24Z</dcterms:created>
  <dcterms:modified xsi:type="dcterms:W3CDTF">2026-08-28T21:24:04Z</dcterms:modified>
</cp:coreProperties>
</file>