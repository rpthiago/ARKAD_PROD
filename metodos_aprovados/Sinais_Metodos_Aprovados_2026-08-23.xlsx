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23" documentId="11_2515919C545AB40CB3DA2911595ED87656CD9798" xr6:coauthVersionLast="47" xr6:coauthVersionMax="47" xr10:uidLastSave="{4F553C9F-026E-4FA7-B05D-6B5A7BADD067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2" i="1"/>
</calcChain>
</file>

<file path=xl/sharedStrings.xml><?xml version="1.0" encoding="utf-8"?>
<sst xmlns="http://schemas.openxmlformats.org/spreadsheetml/2006/main" count="130" uniqueCount="58">
  <si>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</si>
  <si>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</si>
  <si>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</si>
  <si>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</si>
  <si>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</si>
  <si>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</si>
  <si>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</si>
  <si>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</si>
  <si>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</si>
  <si>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</si>
  <si>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</si>
  <si>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2026-08-23</t>
  </si>
  <si>
    <t>08:35</t>
  </si>
  <si>
    <t>CHINA 1</t>
  </si>
  <si>
    <t>Shanghai Port FC x Qingdao Hainiu</t>
  </si>
  <si>
    <t>Lay Draw (Fav &lt;= 1.40)</t>
  </si>
  <si>
    <t>Match Odds (Draw)</t>
  </si>
  <si>
    <t>LAY</t>
  </si>
  <si>
    <t>85.8%</t>
  </si>
  <si>
    <t>+3.26%</t>
  </si>
  <si>
    <t>09:00</t>
  </si>
  <si>
    <t>FINLAND 1</t>
  </si>
  <si>
    <t>KuPS x IFK Mariehamn</t>
  </si>
  <si>
    <t>SWITZERLAND 1</t>
  </si>
  <si>
    <t>Young Boys x FC Vaduz</t>
  </si>
  <si>
    <t>09:30</t>
  </si>
  <si>
    <t>NETHERLANDS 1</t>
  </si>
  <si>
    <t>PSV x FC Groningen</t>
  </si>
  <si>
    <t>Lay Under 0.5 FT (Fav)</t>
  </si>
  <si>
    <t>Under 0.5 FT</t>
  </si>
  <si>
    <t>94.3%</t>
  </si>
  <si>
    <t>+3.18%</t>
  </si>
  <si>
    <t>13:30</t>
  </si>
  <si>
    <t>BELGIUM 1</t>
  </si>
  <si>
    <t>Club Brugge x Cercle Brugge</t>
  </si>
  <si>
    <t>BOSNIA 1</t>
  </si>
  <si>
    <t>Borac Banja Luka x Celik Zenica</t>
  </si>
  <si>
    <t>14:00</t>
  </si>
  <si>
    <t>SERBIA 1</t>
  </si>
  <si>
    <t>Crvena Zvezda x Cukaricki</t>
  </si>
  <si>
    <t>16:00</t>
  </si>
  <si>
    <t>Zrinjski x Zeljeznicar</t>
  </si>
  <si>
    <t>ITALY 2</t>
  </si>
  <si>
    <t>Palermo x Juve Stabia</t>
  </si>
  <si>
    <t>16:15</t>
  </si>
  <si>
    <t>ICELAND 1</t>
  </si>
  <si>
    <t>Vikingur Reykjavik x Valur</t>
  </si>
  <si>
    <t>16:30</t>
  </si>
  <si>
    <t>PORTUGAL 1</t>
  </si>
  <si>
    <t>Porto x Arouca</t>
  </si>
  <si>
    <t>18:30</t>
  </si>
  <si>
    <t>URUGUAY 1</t>
  </si>
  <si>
    <t>Nacional (Uru) x Progreso</t>
  </si>
  <si>
    <t>20:30</t>
  </si>
  <si>
    <t>PERU 1</t>
  </si>
  <si>
    <t>Universitario de Deportes x CD Los Chankas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</si>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</sst>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tabSelected="1" workbookViewId="0">
      <selection activeCell="D20" sqref="D20"/>
    </sheetView>
  </sheetViews>
  <sheetFormatPr defaultRowHeight="14.4" x14ac:dyDescent="0.3"/>
  <cols>
    <col min="4" max="4" width="15.6640625" customWidth="1"/>
    <col min="5" max="5" width="25.777343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56</v>
      </c>
      <c r="M1" s="2" t="s">
        <v>57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6.59</v>
      </c>
      <c r="I2">
        <v>1.35</v>
      </c>
      <c r="J2" t="s">
        <v>18</v>
      </c>
      <c r="K2" t="s">
        <v>19</v>
      </c>
      <c r="L2">
        <v>1</v>
      </c>
      <c r="M2">
        <f>IF(L2=1,0.965/(H2-1),-1)</f>
        <v>0.17262969588550983</v>
      </c>
    </row>
    <row r="3" spans="1:13" x14ac:dyDescent="0.3">
      <c r="A3" t="s">
        <v>11</v>
      </c>
      <c r="B3" t="s">
        <v>20</v>
      </c>
      <c r="C3" t="s">
        <v>21</v>
      </c>
      <c r="D3" t="s">
        <v>22</v>
      </c>
      <c r="E3" t="s">
        <v>15</v>
      </c>
      <c r="F3" t="s">
        <v>16</v>
      </c>
      <c r="G3" t="s">
        <v>17</v>
      </c>
      <c r="H3">
        <v>5.97</v>
      </c>
      <c r="I3">
        <v>1.37</v>
      </c>
      <c r="J3" t="s">
        <v>18</v>
      </c>
      <c r="K3" t="s">
        <v>19</v>
      </c>
      <c r="L3">
        <v>1</v>
      </c>
      <c r="M3">
        <f t="shared" ref="M3:M14" si="0">IF(L3=1,0.965/(H3-1),-1)</f>
        <v>0.19416498993963782</v>
      </c>
    </row>
    <row r="4" spans="1:13" x14ac:dyDescent="0.3">
      <c r="A4" t="s">
        <v>11</v>
      </c>
      <c r="B4" t="s">
        <v>20</v>
      </c>
      <c r="C4" t="s">
        <v>23</v>
      </c>
      <c r="D4" t="s">
        <v>24</v>
      </c>
      <c r="E4" t="s">
        <v>15</v>
      </c>
      <c r="F4" t="s">
        <v>16</v>
      </c>
      <c r="G4" t="s">
        <v>17</v>
      </c>
      <c r="H4">
        <v>6.8</v>
      </c>
      <c r="I4">
        <v>1.33</v>
      </c>
      <c r="J4" t="s">
        <v>18</v>
      </c>
      <c r="K4" t="s">
        <v>19</v>
      </c>
      <c r="L4">
        <v>1</v>
      </c>
      <c r="M4">
        <f t="shared" si="0"/>
        <v>0.16637931034482759</v>
      </c>
    </row>
    <row r="5" spans="1:13" x14ac:dyDescent="0.3">
      <c r="A5" t="s">
        <v>11</v>
      </c>
      <c r="B5" t="s">
        <v>25</v>
      </c>
      <c r="C5" t="s">
        <v>26</v>
      </c>
      <c r="D5" t="s">
        <v>27</v>
      </c>
      <c r="E5" t="s">
        <v>15</v>
      </c>
      <c r="F5" t="s">
        <v>16</v>
      </c>
      <c r="G5" t="s">
        <v>17</v>
      </c>
      <c r="H5">
        <v>6.8</v>
      </c>
      <c r="I5">
        <v>1.31</v>
      </c>
      <c r="J5" t="s">
        <v>18</v>
      </c>
      <c r="K5" t="s">
        <v>19</v>
      </c>
      <c r="L5">
        <v>1</v>
      </c>
      <c r="M5">
        <f t="shared" si="0"/>
        <v>0.16637931034482759</v>
      </c>
    </row>
    <row r="6" spans="1:13" x14ac:dyDescent="0.3">
      <c r="A6" t="s">
        <v>11</v>
      </c>
      <c r="B6" t="s">
        <v>32</v>
      </c>
      <c r="C6" t="s">
        <v>33</v>
      </c>
      <c r="D6" t="s">
        <v>34</v>
      </c>
      <c r="E6" t="s">
        <v>15</v>
      </c>
      <c r="F6" t="s">
        <v>16</v>
      </c>
      <c r="G6" t="s">
        <v>17</v>
      </c>
      <c r="H6">
        <v>6.59</v>
      </c>
      <c r="I6">
        <v>1.32</v>
      </c>
      <c r="J6" t="s">
        <v>18</v>
      </c>
      <c r="K6" t="s">
        <v>19</v>
      </c>
      <c r="L6">
        <v>1</v>
      </c>
      <c r="M6">
        <f t="shared" si="0"/>
        <v>0.17262969588550983</v>
      </c>
    </row>
    <row r="7" spans="1:13" x14ac:dyDescent="0.3">
      <c r="A7" t="s">
        <v>11</v>
      </c>
      <c r="B7" t="s">
        <v>32</v>
      </c>
      <c r="C7" t="s">
        <v>35</v>
      </c>
      <c r="D7" t="s">
        <v>36</v>
      </c>
      <c r="E7" t="s">
        <v>15</v>
      </c>
      <c r="F7" t="s">
        <v>16</v>
      </c>
      <c r="G7" t="s">
        <v>17</v>
      </c>
      <c r="H7">
        <v>6.59</v>
      </c>
      <c r="I7">
        <v>1.22</v>
      </c>
      <c r="J7" t="s">
        <v>18</v>
      </c>
      <c r="K7" t="s">
        <v>19</v>
      </c>
      <c r="L7">
        <v>1</v>
      </c>
      <c r="M7">
        <f t="shared" si="0"/>
        <v>0.17262969588550983</v>
      </c>
    </row>
    <row r="8" spans="1:13" x14ac:dyDescent="0.3">
      <c r="A8" t="s">
        <v>11</v>
      </c>
      <c r="B8" t="s">
        <v>37</v>
      </c>
      <c r="C8" t="s">
        <v>38</v>
      </c>
      <c r="D8" t="s">
        <v>39</v>
      </c>
      <c r="E8" t="s">
        <v>15</v>
      </c>
      <c r="F8" t="s">
        <v>16</v>
      </c>
      <c r="G8" t="s">
        <v>17</v>
      </c>
      <c r="H8">
        <v>7.83</v>
      </c>
      <c r="I8">
        <v>1.2</v>
      </c>
      <c r="J8" t="s">
        <v>18</v>
      </c>
      <c r="K8" t="s">
        <v>19</v>
      </c>
      <c r="L8">
        <v>1</v>
      </c>
      <c r="M8">
        <f t="shared" si="0"/>
        <v>0.14128843338213762</v>
      </c>
    </row>
    <row r="9" spans="1:13" x14ac:dyDescent="0.3">
      <c r="A9" t="s">
        <v>11</v>
      </c>
      <c r="B9" t="s">
        <v>40</v>
      </c>
      <c r="C9" t="s">
        <v>35</v>
      </c>
      <c r="D9" t="s">
        <v>41</v>
      </c>
      <c r="E9" t="s">
        <v>15</v>
      </c>
      <c r="F9" t="s">
        <v>16</v>
      </c>
      <c r="G9" t="s">
        <v>17</v>
      </c>
      <c r="H9">
        <v>7.42</v>
      </c>
      <c r="I9">
        <v>1.2</v>
      </c>
      <c r="J9" t="s">
        <v>18</v>
      </c>
      <c r="K9" t="s">
        <v>19</v>
      </c>
      <c r="L9">
        <v>1</v>
      </c>
      <c r="M9">
        <f t="shared" si="0"/>
        <v>0.15031152647975077</v>
      </c>
    </row>
    <row r="10" spans="1:13" x14ac:dyDescent="0.3">
      <c r="A10" t="s">
        <v>11</v>
      </c>
      <c r="B10" t="s">
        <v>40</v>
      </c>
      <c r="C10" t="s">
        <v>42</v>
      </c>
      <c r="D10" t="s">
        <v>43</v>
      </c>
      <c r="E10" t="s">
        <v>28</v>
      </c>
      <c r="F10" t="s">
        <v>29</v>
      </c>
      <c r="G10" t="s">
        <v>17</v>
      </c>
      <c r="H10">
        <v>14.18</v>
      </c>
      <c r="I10">
        <v>1.51</v>
      </c>
      <c r="J10" t="s">
        <v>30</v>
      </c>
      <c r="K10" t="s">
        <v>31</v>
      </c>
      <c r="L10">
        <v>1</v>
      </c>
      <c r="M10">
        <f t="shared" si="0"/>
        <v>7.3216995447647953E-2</v>
      </c>
    </row>
    <row r="11" spans="1:13" x14ac:dyDescent="0.3">
      <c r="A11" t="s">
        <v>11</v>
      </c>
      <c r="B11" t="s">
        <v>44</v>
      </c>
      <c r="C11" t="s">
        <v>45</v>
      </c>
      <c r="D11" t="s">
        <v>46</v>
      </c>
      <c r="E11" t="s">
        <v>15</v>
      </c>
      <c r="F11" t="s">
        <v>16</v>
      </c>
      <c r="G11" t="s">
        <v>17</v>
      </c>
      <c r="H11">
        <v>6.59</v>
      </c>
      <c r="I11">
        <v>1.36</v>
      </c>
      <c r="J11" t="s">
        <v>18</v>
      </c>
      <c r="K11" t="s">
        <v>19</v>
      </c>
      <c r="L11">
        <v>1</v>
      </c>
      <c r="M11">
        <f t="shared" si="0"/>
        <v>0.17262969588550983</v>
      </c>
    </row>
    <row r="12" spans="1:13" x14ac:dyDescent="0.3">
      <c r="A12" t="s">
        <v>11</v>
      </c>
      <c r="B12" t="s">
        <v>47</v>
      </c>
      <c r="C12" t="s">
        <v>48</v>
      </c>
      <c r="D12" t="s">
        <v>49</v>
      </c>
      <c r="E12" t="s">
        <v>15</v>
      </c>
      <c r="F12" t="s">
        <v>16</v>
      </c>
      <c r="G12" t="s">
        <v>17</v>
      </c>
      <c r="H12">
        <v>6.39</v>
      </c>
      <c r="I12">
        <v>1.3</v>
      </c>
      <c r="J12" t="s">
        <v>18</v>
      </c>
      <c r="K12" t="s">
        <v>19</v>
      </c>
      <c r="L12">
        <v>1</v>
      </c>
      <c r="M12">
        <f t="shared" si="0"/>
        <v>0.1790352504638219</v>
      </c>
    </row>
    <row r="13" spans="1:13" x14ac:dyDescent="0.3">
      <c r="A13" t="s">
        <v>11</v>
      </c>
      <c r="B13" t="s">
        <v>50</v>
      </c>
      <c r="C13" t="s">
        <v>51</v>
      </c>
      <c r="D13" t="s">
        <v>52</v>
      </c>
      <c r="E13" t="s">
        <v>28</v>
      </c>
      <c r="F13" t="s">
        <v>29</v>
      </c>
      <c r="G13" t="s">
        <v>17</v>
      </c>
      <c r="H13">
        <v>14.7</v>
      </c>
      <c r="I13">
        <v>1.47</v>
      </c>
      <c r="J13" t="s">
        <v>30</v>
      </c>
      <c r="K13" t="s">
        <v>31</v>
      </c>
      <c r="L13">
        <v>1</v>
      </c>
      <c r="M13">
        <f t="shared" si="0"/>
        <v>7.0437956204379565E-2</v>
      </c>
    </row>
    <row r="14" spans="1:13" x14ac:dyDescent="0.3">
      <c r="A14" t="s">
        <v>11</v>
      </c>
      <c r="B14" t="s">
        <v>53</v>
      </c>
      <c r="C14" t="s">
        <v>54</v>
      </c>
      <c r="D14" t="s">
        <v>55</v>
      </c>
      <c r="E14" t="s">
        <v>15</v>
      </c>
      <c r="F14" t="s">
        <v>16</v>
      </c>
      <c r="G14" t="s">
        <v>17</v>
      </c>
      <c r="H14">
        <v>6.59</v>
      </c>
      <c r="I14">
        <v>1.27</v>
      </c>
      <c r="J14" t="s">
        <v>18</v>
      </c>
      <c r="K14" t="s">
        <v>19</v>
      </c>
      <c r="L14">
        <v>1</v>
      </c>
      <c r="M14">
        <f t="shared" si="0"/>
        <v>0.17262969588550983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2026-08-28T21:14:35Z</dcterms:created>
  <dcterms:modified xsi:type="dcterms:W3CDTF">2026-09-01T01:29:25Z</dcterms:modified>
</cp:coreProperties>
</file>