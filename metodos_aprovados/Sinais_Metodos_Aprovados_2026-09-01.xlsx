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9" documentId="11_2B59D187542A384463B82F1159B9E8F14671E390" xr6:coauthVersionLast="47" xr6:coauthVersionMax="47" xr10:uidLastSave="{964E7DAC-9F0A-4E11-B485-A90EFB4ADFE4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2" i="1"/>
</calcChain>
</file>

<file path=xl/sharedStrings.xml><?xml version="1.0" encoding="utf-8"?>
<sst xmlns="http://schemas.openxmlformats.org/spreadsheetml/2006/main" count="69" uniqueCount="43">
  <si>
    <t>Data</t>
  </si>
  <si>
    <t>Hora</t>
  </si>
  <si>
    <t>Liga</t>
  </si>
  <si>
    <t>Jogo</t>
  </si>
  <si>
    <t>Método</t>
  </si>
  <si>
    <t>Mercado</t>
  </si>
  <si>
    <t>Lado</t>
  </si>
  <si>
    <t>Odd_Entrada</t>
  </si>
  <si>
    <t>Stake_Sugerida_R$</t>
  </si>
  <si>
    <t>Lucro_Green_R$</t>
  </si>
  <si>
    <t>Risco_Red_R$</t>
  </si>
  <si>
    <t>Expectativa_WR</t>
  </si>
  <si>
    <t>EV_Estimado</t>
  </si>
  <si>
    <t>2026-09-01</t>
  </si>
  <si>
    <t>14:00</t>
  </si>
  <si>
    <t>TURKEY 2</t>
  </si>
  <si>
    <t>Boluspor x Keciorengucu</t>
  </si>
  <si>
    <t>Lay Home / DC X2 (Fav Visitante &lt;= 1.65)</t>
  </si>
  <si>
    <t>Match Odds (Home)</t>
  </si>
  <si>
    <t>LAY</t>
  </si>
  <si>
    <t>86.1%</t>
  </si>
  <si>
    <t>+3.31%</t>
  </si>
  <si>
    <t>14:30</t>
  </si>
  <si>
    <t>AUSTRIA 1</t>
  </si>
  <si>
    <t>RZ Pellets WAC x Lask Linz</t>
  </si>
  <si>
    <t>SOUTH AFRICA 1</t>
  </si>
  <si>
    <t>Kruger United FC x Orlando Pirates (SA)</t>
  </si>
  <si>
    <t>Lay Under 0.5 FT (Fav)</t>
  </si>
  <si>
    <t>Under 0.5 FT</t>
  </si>
  <si>
    <t>94.1%</t>
  </si>
  <si>
    <t>+3.33%</t>
  </si>
  <si>
    <t>Lay Draw (Fav &lt;= 1.40)</t>
  </si>
  <si>
    <t>Match Odds (Draw)</t>
  </si>
  <si>
    <t>85.4%</t>
  </si>
  <si>
    <t>+2.87%</t>
  </si>
  <si>
    <t>15:30</t>
  </si>
  <si>
    <t>SWITZERLAND 1</t>
  </si>
  <si>
    <t>FC Zurich x Young Boys</t>
  </si>
  <si>
    <t>15:45</t>
  </si>
  <si>
    <t>BOSNIA 1</t>
  </si>
  <si>
    <t>Zrinjski x FK BSK Banja Luka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</si>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</sst>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"/>
  <sheetViews>
    <sheetView tabSelected="1" workbookViewId="0">
      <selection activeCell="E21" sqref="E21"/>
    </sheetView>
  </sheetViews>
  <sheetFormatPr defaultRowHeight="14.4" x14ac:dyDescent="0.3"/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41</v>
      </c>
      <c r="O1" s="2" t="s">
        <v>42</v>
      </c>
    </row>
    <row r="2" spans="1:15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>
        <v>6.8</v>
      </c>
      <c r="I2">
        <v>17.239999999999998</v>
      </c>
      <c r="J2">
        <v>16.46</v>
      </c>
      <c r="K2">
        <v>100</v>
      </c>
      <c r="L2" t="s">
        <v>20</v>
      </c>
      <c r="M2" t="s">
        <v>21</v>
      </c>
      <c r="N2">
        <v>1</v>
      </c>
      <c r="O2">
        <f>IF(N2=1,0.965/(H2-1),-1)</f>
        <v>0.16637931034482759</v>
      </c>
    </row>
    <row r="3" spans="1:15" x14ac:dyDescent="0.3">
      <c r="A3" t="s">
        <v>13</v>
      </c>
      <c r="B3" t="s">
        <v>22</v>
      </c>
      <c r="C3" t="s">
        <v>23</v>
      </c>
      <c r="D3" t="s">
        <v>24</v>
      </c>
      <c r="E3" t="s">
        <v>17</v>
      </c>
      <c r="F3" t="s">
        <v>18</v>
      </c>
      <c r="G3" t="s">
        <v>19</v>
      </c>
      <c r="H3">
        <v>7.42</v>
      </c>
      <c r="I3">
        <v>15.58</v>
      </c>
      <c r="J3">
        <v>14.88</v>
      </c>
      <c r="K3">
        <v>100</v>
      </c>
      <c r="L3" t="s">
        <v>20</v>
      </c>
      <c r="M3" t="s">
        <v>21</v>
      </c>
      <c r="N3">
        <v>1</v>
      </c>
      <c r="O3">
        <f t="shared" ref="O3:O7" si="0">IF(N3=1,0.965/(H3-1),-1)</f>
        <v>0.15031152647975077</v>
      </c>
    </row>
    <row r="4" spans="1:15" x14ac:dyDescent="0.3">
      <c r="A4" t="s">
        <v>13</v>
      </c>
      <c r="B4" t="s">
        <v>22</v>
      </c>
      <c r="C4" t="s">
        <v>25</v>
      </c>
      <c r="D4" t="s">
        <v>26</v>
      </c>
      <c r="E4" t="s">
        <v>27</v>
      </c>
      <c r="F4" t="s">
        <v>28</v>
      </c>
      <c r="G4" t="s">
        <v>19</v>
      </c>
      <c r="H4">
        <v>14.18</v>
      </c>
      <c r="I4">
        <v>7.59</v>
      </c>
      <c r="J4">
        <v>7.25</v>
      </c>
      <c r="K4">
        <v>100</v>
      </c>
      <c r="L4" t="s">
        <v>29</v>
      </c>
      <c r="M4" t="s">
        <v>30</v>
      </c>
      <c r="N4">
        <v>1</v>
      </c>
      <c r="O4">
        <f t="shared" si="0"/>
        <v>7.3216995447647953E-2</v>
      </c>
    </row>
    <row r="5" spans="1:15" x14ac:dyDescent="0.3">
      <c r="A5" t="s">
        <v>13</v>
      </c>
      <c r="B5" t="s">
        <v>22</v>
      </c>
      <c r="C5" t="s">
        <v>25</v>
      </c>
      <c r="D5" t="s">
        <v>26</v>
      </c>
      <c r="E5" t="s">
        <v>31</v>
      </c>
      <c r="F5" t="s">
        <v>32</v>
      </c>
      <c r="G5" t="s">
        <v>19</v>
      </c>
      <c r="H5">
        <v>5.05</v>
      </c>
      <c r="I5">
        <v>24.69</v>
      </c>
      <c r="J5">
        <v>23.58</v>
      </c>
      <c r="K5">
        <v>100</v>
      </c>
      <c r="L5" t="s">
        <v>33</v>
      </c>
      <c r="M5" t="s">
        <v>34</v>
      </c>
      <c r="N5">
        <v>1</v>
      </c>
      <c r="O5">
        <f t="shared" si="0"/>
        <v>0.2382716049382716</v>
      </c>
    </row>
    <row r="6" spans="1:15" x14ac:dyDescent="0.3">
      <c r="A6" t="s">
        <v>13</v>
      </c>
      <c r="B6" t="s">
        <v>35</v>
      </c>
      <c r="C6" t="s">
        <v>36</v>
      </c>
      <c r="D6" t="s">
        <v>37</v>
      </c>
      <c r="E6" t="s">
        <v>17</v>
      </c>
      <c r="F6" t="s">
        <v>18</v>
      </c>
      <c r="G6" t="s">
        <v>19</v>
      </c>
      <c r="H6">
        <v>5.25</v>
      </c>
      <c r="I6">
        <v>23.53</v>
      </c>
      <c r="J6">
        <v>22.47</v>
      </c>
      <c r="K6">
        <v>100</v>
      </c>
      <c r="L6" t="s">
        <v>20</v>
      </c>
      <c r="M6" t="s">
        <v>21</v>
      </c>
      <c r="N6">
        <v>1</v>
      </c>
      <c r="O6">
        <f t="shared" si="0"/>
        <v>0.22705882352941176</v>
      </c>
    </row>
    <row r="7" spans="1:15" x14ac:dyDescent="0.3">
      <c r="A7" t="s">
        <v>13</v>
      </c>
      <c r="B7" t="s">
        <v>38</v>
      </c>
      <c r="C7" t="s">
        <v>39</v>
      </c>
      <c r="D7" t="s">
        <v>40</v>
      </c>
      <c r="E7" t="s">
        <v>31</v>
      </c>
      <c r="F7" t="s">
        <v>32</v>
      </c>
      <c r="G7" t="s">
        <v>19</v>
      </c>
      <c r="H7">
        <v>8.0299999999999994</v>
      </c>
      <c r="I7">
        <v>14.22</v>
      </c>
      <c r="J7">
        <v>13.58</v>
      </c>
      <c r="K7">
        <v>100</v>
      </c>
      <c r="L7" t="s">
        <v>33</v>
      </c>
      <c r="M7" t="s">
        <v>34</v>
      </c>
      <c r="N7">
        <v>1</v>
      </c>
      <c r="O7">
        <f t="shared" si="0"/>
        <v>0.1372688477951636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2026-09-01T23:40:48Z</dcterms:created>
  <dcterms:modified xsi:type="dcterms:W3CDTF">2026-09-01T23:42:50Z</dcterms:modified>
</cp:coreProperties>
</file>