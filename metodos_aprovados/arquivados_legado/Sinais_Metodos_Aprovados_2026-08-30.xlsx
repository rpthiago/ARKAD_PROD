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7" documentId="11_2EA96AAC1858120E62355476585DCE3A8747EA03" xr6:coauthVersionLast="47" xr6:coauthVersionMax="47" xr10:uidLastSave="{87A8DABD-3DBB-4CE4-BB48-6A592A0C598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</calcChain>
</file>

<file path=xl/sharedStrings.xml><?xml version="1.0" encoding="utf-8"?>
<sst xmlns="http://schemas.openxmlformats.org/spreadsheetml/2006/main" count="120" uniqueCount="66">
  <si>
    <t>Hora</t>
  </si>
  <si>
    <t>Liga</t>
  </si>
  <si>
    <t>Jogo</t>
  </si>
  <si>
    <t>Método</t>
  </si>
  <si>
    <t>Odd_Entrada</t>
  </si>
  <si>
    <t>Placar</t>
  </si>
  <si>
    <t>Resultado</t>
  </si>
  <si>
    <t>Stake_Sugerida_R$</t>
  </si>
  <si>
    <t>Lucro_Green_R$</t>
  </si>
  <si>
    <t>Risco_Red_R$</t>
  </si>
  <si>
    <t>PnL_R$</t>
  </si>
  <si>
    <t>PnL_u</t>
  </si>
  <si>
    <t>Data</t>
  </si>
  <si>
    <t>1/0</t>
  </si>
  <si>
    <t>08:30</t>
  </si>
  <si>
    <t>CHINA 1</t>
  </si>
  <si>
    <t>Guangdong GZ-Power FC x Changchun Yatai</t>
  </si>
  <si>
    <t>Lay Draw Super Fav</t>
  </si>
  <si>
    <t>2x1</t>
  </si>
  <si>
    <t>GREEN</t>
  </si>
  <si>
    <t>2026-08-30</t>
  </si>
  <si>
    <t>09:30</t>
  </si>
  <si>
    <t>NETHERLANDS 1</t>
  </si>
  <si>
    <t>Feyenoord x ADO Den Haag</t>
  </si>
  <si>
    <t>2x2</t>
  </si>
  <si>
    <t>RED</t>
  </si>
  <si>
    <t>NORWAY 1</t>
  </si>
  <si>
    <t>Bodo Glimt x Rosenborg</t>
  </si>
  <si>
    <t>4x1</t>
  </si>
  <si>
    <t>12:00</t>
  </si>
  <si>
    <t>CZECH 1</t>
  </si>
  <si>
    <t>Plzen x Slovacko</t>
  </si>
  <si>
    <t>2x0</t>
  </si>
  <si>
    <t>Viking x Aalesunds</t>
  </si>
  <si>
    <t>0x1</t>
  </si>
  <si>
    <t>SLOVAKIA 1</t>
  </si>
  <si>
    <t>Slovan Bratislava x Zemplin</t>
  </si>
  <si>
    <t>3x0</t>
  </si>
  <si>
    <t>12:30</t>
  </si>
  <si>
    <t>ENGLAND 1</t>
  </si>
  <si>
    <t>Man Utd x Ipswich</t>
  </si>
  <si>
    <t>5x2</t>
  </si>
  <si>
    <t>14:00</t>
  </si>
  <si>
    <t>AUSTRIA 1</t>
  </si>
  <si>
    <t>Red Bull Salzburg x Austria Wien</t>
  </si>
  <si>
    <t>15:00</t>
  </si>
  <si>
    <t>ARGENTINA 2</t>
  </si>
  <si>
    <t>Club Atletico Mitre x CA Central Norte</t>
  </si>
  <si>
    <t>Lay 0x1 Super Fav</t>
  </si>
  <si>
    <t>SAUDI ARABIA 1</t>
  </si>
  <si>
    <t>Al-Quadisiya (KSA) x Al Faisaly ( KSA )</t>
  </si>
  <si>
    <t>15:30</t>
  </si>
  <si>
    <t>Deportivo Moron x CA San Miguel</t>
  </si>
  <si>
    <t>16:00</t>
  </si>
  <si>
    <t>BRAZIL 1</t>
  </si>
  <si>
    <t>Flamengo x Botafogo FR</t>
  </si>
  <si>
    <t>BRAZIL 2</t>
  </si>
  <si>
    <t>America MG x Ponte Preta</t>
  </si>
  <si>
    <t>20:00</t>
  </si>
  <si>
    <t>VENEZUELA 1</t>
  </si>
  <si>
    <t>Carabobo FC x Zamora FC</t>
  </si>
  <si>
    <t>0x0</t>
  </si>
  <si>
    <t>21:00</t>
  </si>
  <si>
    <t>MEXICO 1</t>
  </si>
  <si>
    <t>Toluca x FC Juarez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</si>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</sst>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I22" sqref="I22"/>
    </sheetView>
  </sheetViews>
  <sheetFormatPr defaultRowHeight="14.4" x14ac:dyDescent="0.3"/>
  <cols>
    <col min="3" max="3" width="10.44140625" customWidth="1"/>
    <col min="4" max="4" width="11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65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>
        <v>5.46</v>
      </c>
      <c r="F2" t="s">
        <v>18</v>
      </c>
      <c r="G2" t="s">
        <v>19</v>
      </c>
      <c r="H2">
        <v>44.84</v>
      </c>
      <c r="I2">
        <v>42.82</v>
      </c>
      <c r="J2">
        <v>200</v>
      </c>
      <c r="K2">
        <v>42.82</v>
      </c>
      <c r="L2">
        <v>0.95499999999999996</v>
      </c>
      <c r="M2" t="s">
        <v>20</v>
      </c>
      <c r="N2">
        <v>1</v>
      </c>
      <c r="O2">
        <f>IF(N2=1,0.965/(E2-1),-1)</f>
        <v>0.21636771300448429</v>
      </c>
    </row>
    <row r="3" spans="1:15" x14ac:dyDescent="0.3">
      <c r="A3" t="s">
        <v>21</v>
      </c>
      <c r="B3" t="s">
        <v>22</v>
      </c>
      <c r="C3" t="s">
        <v>23</v>
      </c>
      <c r="D3" t="s">
        <v>17</v>
      </c>
      <c r="E3">
        <v>9.06</v>
      </c>
      <c r="F3" t="s">
        <v>24</v>
      </c>
      <c r="G3" t="s">
        <v>25</v>
      </c>
      <c r="H3">
        <v>24.81</v>
      </c>
      <c r="I3">
        <v>23.69</v>
      </c>
      <c r="J3">
        <v>200</v>
      </c>
      <c r="K3">
        <v>-200</v>
      </c>
      <c r="L3">
        <v>-8.06</v>
      </c>
      <c r="M3" t="s">
        <v>20</v>
      </c>
      <c r="N3">
        <v>0</v>
      </c>
      <c r="O3">
        <f t="shared" ref="O3:O16" si="0">IF(N3=1,0.965/(E3-1),-1)</f>
        <v>-1</v>
      </c>
    </row>
    <row r="4" spans="1:15" x14ac:dyDescent="0.3">
      <c r="A4" t="s">
        <v>21</v>
      </c>
      <c r="B4" t="s">
        <v>26</v>
      </c>
      <c r="C4" t="s">
        <v>27</v>
      </c>
      <c r="D4" t="s">
        <v>17</v>
      </c>
      <c r="E4">
        <v>6.8</v>
      </c>
      <c r="F4" t="s">
        <v>28</v>
      </c>
      <c r="G4" t="s">
        <v>19</v>
      </c>
      <c r="H4">
        <v>34.479999999999997</v>
      </c>
      <c r="I4">
        <v>32.93</v>
      </c>
      <c r="J4">
        <v>200</v>
      </c>
      <c r="K4">
        <v>32.93</v>
      </c>
      <c r="L4">
        <v>0.95499999999999996</v>
      </c>
      <c r="M4" t="s">
        <v>20</v>
      </c>
      <c r="N4">
        <v>1</v>
      </c>
      <c r="O4">
        <f t="shared" si="0"/>
        <v>0.16637931034482759</v>
      </c>
    </row>
    <row r="5" spans="1:15" x14ac:dyDescent="0.3">
      <c r="A5" t="s">
        <v>29</v>
      </c>
      <c r="B5" t="s">
        <v>30</v>
      </c>
      <c r="C5" t="s">
        <v>31</v>
      </c>
      <c r="D5" t="s">
        <v>17</v>
      </c>
      <c r="E5">
        <v>5.97</v>
      </c>
      <c r="F5" t="s">
        <v>32</v>
      </c>
      <c r="G5" t="s">
        <v>19</v>
      </c>
      <c r="H5">
        <v>40.24</v>
      </c>
      <c r="I5">
        <v>38.43</v>
      </c>
      <c r="J5">
        <v>200</v>
      </c>
      <c r="K5">
        <v>38.43</v>
      </c>
      <c r="L5">
        <v>0.95499999999999996</v>
      </c>
      <c r="M5" t="s">
        <v>20</v>
      </c>
      <c r="N5">
        <v>1</v>
      </c>
      <c r="O5">
        <f t="shared" si="0"/>
        <v>0.19416498993963782</v>
      </c>
    </row>
    <row r="6" spans="1:15" x14ac:dyDescent="0.3">
      <c r="A6" t="s">
        <v>29</v>
      </c>
      <c r="B6" t="s">
        <v>26</v>
      </c>
      <c r="C6" t="s">
        <v>33</v>
      </c>
      <c r="D6" t="s">
        <v>17</v>
      </c>
      <c r="E6">
        <v>6.8</v>
      </c>
      <c r="F6" t="s">
        <v>34</v>
      </c>
      <c r="G6" t="s">
        <v>19</v>
      </c>
      <c r="H6">
        <v>34.479999999999997</v>
      </c>
      <c r="I6">
        <v>32.93</v>
      </c>
      <c r="J6">
        <v>200</v>
      </c>
      <c r="K6">
        <v>32.93</v>
      </c>
      <c r="L6">
        <v>0.95499999999999996</v>
      </c>
      <c r="M6" t="s">
        <v>20</v>
      </c>
      <c r="N6">
        <v>1</v>
      </c>
      <c r="O6">
        <f t="shared" si="0"/>
        <v>0.16637931034482759</v>
      </c>
    </row>
    <row r="7" spans="1:15" x14ac:dyDescent="0.3">
      <c r="A7" t="s">
        <v>29</v>
      </c>
      <c r="B7" t="s">
        <v>35</v>
      </c>
      <c r="C7" t="s">
        <v>36</v>
      </c>
      <c r="D7" t="s">
        <v>17</v>
      </c>
      <c r="E7">
        <v>6.59</v>
      </c>
      <c r="F7" t="s">
        <v>37</v>
      </c>
      <c r="G7" t="s">
        <v>19</v>
      </c>
      <c r="H7">
        <v>35.78</v>
      </c>
      <c r="I7">
        <v>34.17</v>
      </c>
      <c r="J7">
        <v>200</v>
      </c>
      <c r="K7">
        <v>34.17</v>
      </c>
      <c r="L7">
        <v>0.95499999999999996</v>
      </c>
      <c r="M7" t="s">
        <v>20</v>
      </c>
      <c r="N7">
        <v>1</v>
      </c>
      <c r="O7">
        <f t="shared" si="0"/>
        <v>0.17262969588550983</v>
      </c>
    </row>
    <row r="8" spans="1:15" x14ac:dyDescent="0.3">
      <c r="A8" t="s">
        <v>38</v>
      </c>
      <c r="B8" t="s">
        <v>39</v>
      </c>
      <c r="C8" t="s">
        <v>40</v>
      </c>
      <c r="D8" t="s">
        <v>17</v>
      </c>
      <c r="E8">
        <v>5.87</v>
      </c>
      <c r="F8" t="s">
        <v>41</v>
      </c>
      <c r="G8" t="s">
        <v>19</v>
      </c>
      <c r="H8">
        <v>41.07</v>
      </c>
      <c r="I8">
        <v>39.22</v>
      </c>
      <c r="J8">
        <v>200</v>
      </c>
      <c r="K8">
        <v>39.22</v>
      </c>
      <c r="L8">
        <v>0.95499999999999996</v>
      </c>
      <c r="M8" t="s">
        <v>20</v>
      </c>
      <c r="N8">
        <v>1</v>
      </c>
      <c r="O8">
        <f t="shared" si="0"/>
        <v>0.19815195071868583</v>
      </c>
    </row>
    <row r="9" spans="1:15" x14ac:dyDescent="0.3">
      <c r="A9" t="s">
        <v>42</v>
      </c>
      <c r="B9" t="s">
        <v>43</v>
      </c>
      <c r="C9" t="s">
        <v>44</v>
      </c>
      <c r="D9" t="s">
        <v>17</v>
      </c>
      <c r="E9">
        <v>5.87</v>
      </c>
      <c r="F9" t="s">
        <v>28</v>
      </c>
      <c r="G9" t="s">
        <v>19</v>
      </c>
      <c r="H9">
        <v>41.07</v>
      </c>
      <c r="I9">
        <v>39.22</v>
      </c>
      <c r="J9">
        <v>200</v>
      </c>
      <c r="K9">
        <v>39.22</v>
      </c>
      <c r="L9">
        <v>0.95499999999999996</v>
      </c>
      <c r="M9" t="s">
        <v>20</v>
      </c>
      <c r="N9">
        <v>1</v>
      </c>
      <c r="O9">
        <f t="shared" si="0"/>
        <v>0.19815195071868583</v>
      </c>
    </row>
    <row r="10" spans="1:15" x14ac:dyDescent="0.3">
      <c r="A10" t="s">
        <v>45</v>
      </c>
      <c r="B10" t="s">
        <v>46</v>
      </c>
      <c r="C10" t="s">
        <v>47</v>
      </c>
      <c r="D10" t="s">
        <v>48</v>
      </c>
      <c r="E10">
        <v>14</v>
      </c>
      <c r="F10" t="s">
        <v>24</v>
      </c>
      <c r="G10" t="s">
        <v>19</v>
      </c>
      <c r="H10">
        <v>15.38</v>
      </c>
      <c r="I10">
        <v>14.69</v>
      </c>
      <c r="J10">
        <v>200</v>
      </c>
      <c r="K10">
        <v>14.69</v>
      </c>
      <c r="L10">
        <v>0.95499999999999996</v>
      </c>
      <c r="M10" t="s">
        <v>20</v>
      </c>
      <c r="N10">
        <v>1</v>
      </c>
      <c r="O10">
        <f t="shared" si="0"/>
        <v>7.4230769230769225E-2</v>
      </c>
    </row>
    <row r="11" spans="1:15" x14ac:dyDescent="0.3">
      <c r="A11" t="s">
        <v>45</v>
      </c>
      <c r="B11" t="s">
        <v>49</v>
      </c>
      <c r="C11" t="s">
        <v>50</v>
      </c>
      <c r="D11" t="s">
        <v>17</v>
      </c>
      <c r="E11">
        <v>9.27</v>
      </c>
      <c r="F11" t="s">
        <v>32</v>
      </c>
      <c r="G11" t="s">
        <v>19</v>
      </c>
      <c r="H11">
        <v>24.18</v>
      </c>
      <c r="I11">
        <v>23.09</v>
      </c>
      <c r="J11">
        <v>200</v>
      </c>
      <c r="K11">
        <v>23.09</v>
      </c>
      <c r="L11">
        <v>0.95499999999999996</v>
      </c>
      <c r="M11" t="s">
        <v>20</v>
      </c>
      <c r="N11">
        <v>1</v>
      </c>
      <c r="O11">
        <f t="shared" si="0"/>
        <v>0.11668681983071343</v>
      </c>
    </row>
    <row r="12" spans="1:15" x14ac:dyDescent="0.3">
      <c r="A12" t="s">
        <v>51</v>
      </c>
      <c r="B12" t="s">
        <v>46</v>
      </c>
      <c r="C12" t="s">
        <v>52</v>
      </c>
      <c r="D12" t="s">
        <v>48</v>
      </c>
      <c r="E12">
        <v>14</v>
      </c>
      <c r="F12" t="s">
        <v>18</v>
      </c>
      <c r="G12" t="s">
        <v>19</v>
      </c>
      <c r="H12">
        <v>15.38</v>
      </c>
      <c r="I12">
        <v>14.69</v>
      </c>
      <c r="J12">
        <v>200</v>
      </c>
      <c r="K12">
        <v>14.69</v>
      </c>
      <c r="L12">
        <v>0.95499999999999996</v>
      </c>
      <c r="M12" t="s">
        <v>20</v>
      </c>
      <c r="N12">
        <v>1</v>
      </c>
      <c r="O12">
        <f t="shared" si="0"/>
        <v>7.4230769230769225E-2</v>
      </c>
    </row>
    <row r="13" spans="1:15" x14ac:dyDescent="0.3">
      <c r="A13" t="s">
        <v>53</v>
      </c>
      <c r="B13" t="s">
        <v>54</v>
      </c>
      <c r="C13" t="s">
        <v>55</v>
      </c>
      <c r="D13" t="s">
        <v>17</v>
      </c>
      <c r="E13">
        <v>5.77</v>
      </c>
      <c r="F13" t="s">
        <v>37</v>
      </c>
      <c r="G13" t="s">
        <v>19</v>
      </c>
      <c r="H13">
        <v>41.93</v>
      </c>
      <c r="I13">
        <v>40.04</v>
      </c>
      <c r="J13">
        <v>200</v>
      </c>
      <c r="K13">
        <v>40.04</v>
      </c>
      <c r="L13">
        <v>0.95499999999999996</v>
      </c>
      <c r="M13" t="s">
        <v>20</v>
      </c>
      <c r="N13">
        <v>1</v>
      </c>
      <c r="O13">
        <f t="shared" si="0"/>
        <v>0.20230607966457023</v>
      </c>
    </row>
    <row r="14" spans="1:15" x14ac:dyDescent="0.3">
      <c r="A14" t="s">
        <v>53</v>
      </c>
      <c r="B14" t="s">
        <v>56</v>
      </c>
      <c r="C14" t="s">
        <v>57</v>
      </c>
      <c r="D14" t="s">
        <v>17</v>
      </c>
      <c r="E14">
        <v>9.27</v>
      </c>
      <c r="F14" t="s">
        <v>32</v>
      </c>
      <c r="G14" t="s">
        <v>19</v>
      </c>
      <c r="H14">
        <v>24.18</v>
      </c>
      <c r="I14">
        <v>23.09</v>
      </c>
      <c r="J14">
        <v>200</v>
      </c>
      <c r="K14">
        <v>23.09</v>
      </c>
      <c r="L14">
        <v>0.95499999999999996</v>
      </c>
      <c r="M14" t="s">
        <v>20</v>
      </c>
      <c r="N14">
        <v>1</v>
      </c>
      <c r="O14">
        <f t="shared" si="0"/>
        <v>0.11668681983071343</v>
      </c>
    </row>
    <row r="15" spans="1:15" x14ac:dyDescent="0.3">
      <c r="A15" t="s">
        <v>58</v>
      </c>
      <c r="B15" t="s">
        <v>59</v>
      </c>
      <c r="C15" t="s">
        <v>60</v>
      </c>
      <c r="D15" t="s">
        <v>17</v>
      </c>
      <c r="E15">
        <v>4.74</v>
      </c>
      <c r="F15" t="s">
        <v>61</v>
      </c>
      <c r="G15" t="s">
        <v>25</v>
      </c>
      <c r="H15">
        <v>53.48</v>
      </c>
      <c r="I15">
        <v>51.07</v>
      </c>
      <c r="J15">
        <v>200</v>
      </c>
      <c r="K15">
        <v>-200</v>
      </c>
      <c r="L15">
        <v>-3.74</v>
      </c>
      <c r="M15" t="s">
        <v>20</v>
      </c>
      <c r="N15">
        <v>0</v>
      </c>
      <c r="O15">
        <f t="shared" si="0"/>
        <v>-1</v>
      </c>
    </row>
    <row r="16" spans="1:15" x14ac:dyDescent="0.3">
      <c r="A16" t="s">
        <v>62</v>
      </c>
      <c r="B16" t="s">
        <v>63</v>
      </c>
      <c r="C16" t="s">
        <v>64</v>
      </c>
      <c r="D16" t="s">
        <v>17</v>
      </c>
      <c r="E16">
        <v>6.39</v>
      </c>
      <c r="F16" t="s">
        <v>32</v>
      </c>
      <c r="G16" t="s">
        <v>19</v>
      </c>
      <c r="H16">
        <v>37.11</v>
      </c>
      <c r="I16">
        <v>35.44</v>
      </c>
      <c r="J16">
        <v>200</v>
      </c>
      <c r="K16">
        <v>35.44</v>
      </c>
      <c r="L16">
        <v>0.95499999999999996</v>
      </c>
      <c r="M16" t="s">
        <v>20</v>
      </c>
      <c r="N16">
        <v>1</v>
      </c>
      <c r="O16">
        <f t="shared" si="0"/>
        <v>0.1790352504638219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2026-08-31T01:47:31Z</dcterms:created>
  <dcterms:modified xsi:type="dcterms:W3CDTF">2026-09-01T02:05:29Z</dcterms:modified>
</cp:coreProperties>
</file>