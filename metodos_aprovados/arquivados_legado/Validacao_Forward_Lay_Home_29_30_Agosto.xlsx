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metodos_aprovados/"/>
    </mc:Choice>
  </mc:AlternateContent>
  <xr:revisionPtr revIDLastSave="5" documentId="11_5D2D9CEB5F7DF60E62355476585DCE3A874732AA" xr6:coauthVersionLast="47" xr6:coauthVersionMax="47" xr10:uidLastSave="{62ABA2F7-7CB1-424E-ACC1-B94E792ED002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" i="1"/>
</calcChain>
</file>

<file path=xl/sharedStrings.xml><?xml version="1.0" encoding="utf-8"?>
<sst xmlns="http://schemas.openxmlformats.org/spreadsheetml/2006/main" count="212" uniqueCount="84">
  <si>
    <t>Data</t>
  </si>
  <si>
    <t>Hora</t>
  </si>
  <si>
    <t>Liga</t>
  </si>
  <si>
    <t>Jogo</t>
  </si>
  <si>
    <t>Odd_A_Fav</t>
  </si>
  <si>
    <t>Odd_H_Lay</t>
  </si>
  <si>
    <t>Placar</t>
  </si>
  <si>
    <t>Resultado</t>
  </si>
  <si>
    <t>Método</t>
  </si>
  <si>
    <t>Mercado</t>
  </si>
  <si>
    <t>Lado</t>
  </si>
  <si>
    <t>Stake_Sugerida_R$</t>
  </si>
  <si>
    <t>1/0</t>
  </si>
  <si>
    <t>2026-08-29</t>
  </si>
  <si>
    <t>06:30</t>
  </si>
  <si>
    <t>JAPAN 1</t>
  </si>
  <si>
    <t>Nagasaki x FC Tokyo</t>
  </si>
  <si>
    <t>0x1</t>
  </si>
  <si>
    <t>GREEN</t>
  </si>
  <si>
    <t>Lay Home / DC X2 (Fav Visitante &lt;= 1.65)</t>
  </si>
  <si>
    <t>Match Odds (Home)</t>
  </si>
  <si>
    <t>LAY</t>
  </si>
  <si>
    <t>10:30</t>
  </si>
  <si>
    <t>GERMANY 1</t>
  </si>
  <si>
    <t>Elversberg x Leverkusen</t>
  </si>
  <si>
    <t>1x2</t>
  </si>
  <si>
    <t>13:05</t>
  </si>
  <si>
    <t>SAUDI ARABIA 1</t>
  </si>
  <si>
    <t>Al-Kholood Club x Al Ahli</t>
  </si>
  <si>
    <t>13:30</t>
  </si>
  <si>
    <t>CROATIA 1</t>
  </si>
  <si>
    <t>NK Istra x Dinamo Zagreb</t>
  </si>
  <si>
    <t>0x2</t>
  </si>
  <si>
    <t>14:00</t>
  </si>
  <si>
    <t>ISRAEL 1</t>
  </si>
  <si>
    <t>Hapoel Ramat Gan x Hapoel Be'er Sheva</t>
  </si>
  <si>
    <t>21:30</t>
  </si>
  <si>
    <t>USA 1</t>
  </si>
  <si>
    <t>Kansas City x Vancouver Whitecaps</t>
  </si>
  <si>
    <t>1x1</t>
  </si>
  <si>
    <t>2026-08-30</t>
  </si>
  <si>
    <t>07:15</t>
  </si>
  <si>
    <t>NETHERLANDS 1</t>
  </si>
  <si>
    <t>FC Utrecht x PSV</t>
  </si>
  <si>
    <t>07:30</t>
  </si>
  <si>
    <t>SOUTH KOREA 1</t>
  </si>
  <si>
    <t>Gwangju FC x FC Seoul</t>
  </si>
  <si>
    <t>08:30</t>
  </si>
  <si>
    <t>ESTONIA 1</t>
  </si>
  <si>
    <t>Nomme Kalju x Fci Tallinn</t>
  </si>
  <si>
    <t>09:00</t>
  </si>
  <si>
    <t>DENMARK 1</t>
  </si>
  <si>
    <t>Silkeborg x Midtjylland</t>
  </si>
  <si>
    <t>SWEDEN 1</t>
  </si>
  <si>
    <t>AIK x Hammarby</t>
  </si>
  <si>
    <t>0x0</t>
  </si>
  <si>
    <t>11:45</t>
  </si>
  <si>
    <t>SC Telstar x Ajax</t>
  </si>
  <si>
    <t>12:00</t>
  </si>
  <si>
    <t>NORWAY 2</t>
  </si>
  <si>
    <t>Hodd x Stabaek</t>
  </si>
  <si>
    <t>Sogndal x Stromsgodset</t>
  </si>
  <si>
    <t>13:00</t>
  </si>
  <si>
    <t>BULGARIA 1</t>
  </si>
  <si>
    <t>Botev Plovdiv x PFC Levski Sofia</t>
  </si>
  <si>
    <t>Spartak Varna x Ludogorets</t>
  </si>
  <si>
    <t>14:15</t>
  </si>
  <si>
    <t>GREECE 1</t>
  </si>
  <si>
    <t>Atromitos x PAOK</t>
  </si>
  <si>
    <t>15:00</t>
  </si>
  <si>
    <t>ARGENTINA 1</t>
  </si>
  <si>
    <t>Banfield x River Plate</t>
  </si>
  <si>
    <t>2x3</t>
  </si>
  <si>
    <t>Asteras Tripolis x Olympiakos</t>
  </si>
  <si>
    <t>15:15</t>
  </si>
  <si>
    <t>SLOVENIA 1</t>
  </si>
  <si>
    <t>Nafta Lendava x NK Maribor</t>
  </si>
  <si>
    <t>15:30</t>
  </si>
  <si>
    <t>TURKEY 1</t>
  </si>
  <si>
    <t>Samsunspor x Fenerbahce</t>
  </si>
  <si>
    <t>15:45</t>
  </si>
  <si>
    <t>ITALY 1</t>
  </si>
  <si>
    <t>Cagliari x Inter</t>
  </si>
  <si>
    <t>P/L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</si>
</sst>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workbookViewId="0">
      <selection activeCell="Q9" sqref="Q9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83</v>
      </c>
      <c r="O1" s="1"/>
    </row>
    <row r="2" spans="1:15" x14ac:dyDescent="0.3">
      <c r="A2" t="s">
        <v>13</v>
      </c>
      <c r="B2" t="s">
        <v>14</v>
      </c>
      <c r="C2" t="s">
        <v>15</v>
      </c>
      <c r="D2" t="s">
        <v>16</v>
      </c>
      <c r="E2">
        <v>1.62</v>
      </c>
      <c r="F2">
        <v>6.2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38.46</v>
      </c>
      <c r="M2">
        <v>1</v>
      </c>
      <c r="N2">
        <f>IF(M2=1,0.965/(F2-1),-1)</f>
        <v>0.18557692307692306</v>
      </c>
    </row>
    <row r="3" spans="1:15" x14ac:dyDescent="0.3">
      <c r="A3" t="s">
        <v>13</v>
      </c>
      <c r="B3" t="s">
        <v>22</v>
      </c>
      <c r="C3" t="s">
        <v>23</v>
      </c>
      <c r="D3" t="s">
        <v>24</v>
      </c>
      <c r="E3">
        <v>1.63</v>
      </c>
      <c r="F3">
        <v>5.8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>
        <v>41.67</v>
      </c>
      <c r="M3">
        <v>1</v>
      </c>
      <c r="N3">
        <f t="shared" ref="N3:N23" si="0">IF(M3=1,0.965/(F3-1),-1)</f>
        <v>0.20104166666666667</v>
      </c>
    </row>
    <row r="4" spans="1:15" x14ac:dyDescent="0.3">
      <c r="A4" t="s">
        <v>13</v>
      </c>
      <c r="B4" t="s">
        <v>26</v>
      </c>
      <c r="C4" t="s">
        <v>27</v>
      </c>
      <c r="D4" t="s">
        <v>28</v>
      </c>
      <c r="E4">
        <v>1.44</v>
      </c>
      <c r="F4">
        <v>9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>
        <v>25</v>
      </c>
      <c r="M4">
        <v>1</v>
      </c>
      <c r="N4">
        <f t="shared" si="0"/>
        <v>0.120625</v>
      </c>
    </row>
    <row r="5" spans="1:15" x14ac:dyDescent="0.3">
      <c r="A5" t="s">
        <v>13</v>
      </c>
      <c r="B5" t="s">
        <v>29</v>
      </c>
      <c r="C5" t="s">
        <v>30</v>
      </c>
      <c r="D5" t="s">
        <v>31</v>
      </c>
      <c r="E5">
        <v>1.45</v>
      </c>
      <c r="F5">
        <v>8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>
        <v>28.57</v>
      </c>
      <c r="M5">
        <v>1</v>
      </c>
      <c r="N5">
        <f t="shared" si="0"/>
        <v>0.13785714285714284</v>
      </c>
    </row>
    <row r="6" spans="1:15" x14ac:dyDescent="0.3">
      <c r="A6" t="s">
        <v>13</v>
      </c>
      <c r="B6" t="s">
        <v>33</v>
      </c>
      <c r="C6" t="s">
        <v>34</v>
      </c>
      <c r="D6" t="s">
        <v>35</v>
      </c>
      <c r="E6">
        <v>1.48</v>
      </c>
      <c r="F6">
        <v>8.4</v>
      </c>
      <c r="G6" t="s">
        <v>32</v>
      </c>
      <c r="H6" t="s">
        <v>18</v>
      </c>
      <c r="I6" t="s">
        <v>19</v>
      </c>
      <c r="J6" t="s">
        <v>20</v>
      </c>
      <c r="K6" t="s">
        <v>21</v>
      </c>
      <c r="L6">
        <v>27.03</v>
      </c>
      <c r="M6">
        <v>1</v>
      </c>
      <c r="N6">
        <f t="shared" si="0"/>
        <v>0.13040540540540541</v>
      </c>
    </row>
    <row r="7" spans="1:15" x14ac:dyDescent="0.3">
      <c r="A7" t="s">
        <v>13</v>
      </c>
      <c r="B7" t="s">
        <v>36</v>
      </c>
      <c r="C7" t="s">
        <v>37</v>
      </c>
      <c r="D7" t="s">
        <v>38</v>
      </c>
      <c r="E7">
        <v>1.46</v>
      </c>
      <c r="F7">
        <v>7.6</v>
      </c>
      <c r="G7" t="s">
        <v>39</v>
      </c>
      <c r="H7" t="s">
        <v>18</v>
      </c>
      <c r="I7" t="s">
        <v>19</v>
      </c>
      <c r="J7" t="s">
        <v>20</v>
      </c>
      <c r="K7" t="s">
        <v>21</v>
      </c>
      <c r="L7">
        <v>30.3</v>
      </c>
      <c r="M7">
        <v>1</v>
      </c>
      <c r="N7">
        <f t="shared" si="0"/>
        <v>0.14621212121212121</v>
      </c>
    </row>
    <row r="8" spans="1:15" x14ac:dyDescent="0.3">
      <c r="A8" t="s">
        <v>40</v>
      </c>
      <c r="B8" t="s">
        <v>41</v>
      </c>
      <c r="C8" t="s">
        <v>42</v>
      </c>
      <c r="D8" t="s">
        <v>43</v>
      </c>
      <c r="E8">
        <v>1.6</v>
      </c>
      <c r="F8">
        <v>5.8</v>
      </c>
      <c r="G8" t="s">
        <v>25</v>
      </c>
      <c r="H8" t="s">
        <v>18</v>
      </c>
      <c r="I8" t="s">
        <v>19</v>
      </c>
      <c r="J8" t="s">
        <v>20</v>
      </c>
      <c r="K8" t="s">
        <v>21</v>
      </c>
      <c r="L8">
        <v>41.67</v>
      </c>
      <c r="M8">
        <v>1</v>
      </c>
      <c r="N8">
        <f t="shared" si="0"/>
        <v>0.20104166666666667</v>
      </c>
    </row>
    <row r="9" spans="1:15" x14ac:dyDescent="0.3">
      <c r="A9" t="s">
        <v>40</v>
      </c>
      <c r="B9" t="s">
        <v>44</v>
      </c>
      <c r="C9" t="s">
        <v>45</v>
      </c>
      <c r="D9" t="s">
        <v>46</v>
      </c>
      <c r="E9">
        <v>1.51</v>
      </c>
      <c r="F9">
        <v>8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>
        <v>28.57</v>
      </c>
      <c r="M9">
        <v>1</v>
      </c>
      <c r="N9">
        <f t="shared" si="0"/>
        <v>0.13785714285714284</v>
      </c>
    </row>
    <row r="10" spans="1:15" x14ac:dyDescent="0.3">
      <c r="A10" t="s">
        <v>40</v>
      </c>
      <c r="B10" t="s">
        <v>47</v>
      </c>
      <c r="C10" t="s">
        <v>48</v>
      </c>
      <c r="D10" t="s">
        <v>49</v>
      </c>
      <c r="E10">
        <v>1.56</v>
      </c>
      <c r="F10">
        <v>7.4</v>
      </c>
      <c r="G10" t="s">
        <v>39</v>
      </c>
      <c r="H10" t="s">
        <v>18</v>
      </c>
      <c r="I10" t="s">
        <v>19</v>
      </c>
      <c r="J10" t="s">
        <v>20</v>
      </c>
      <c r="K10" t="s">
        <v>21</v>
      </c>
      <c r="L10">
        <v>31.25</v>
      </c>
      <c r="M10">
        <v>1</v>
      </c>
      <c r="N10">
        <f t="shared" si="0"/>
        <v>0.15078124999999998</v>
      </c>
    </row>
    <row r="11" spans="1:15" x14ac:dyDescent="0.3">
      <c r="A11" t="s">
        <v>40</v>
      </c>
      <c r="B11" t="s">
        <v>50</v>
      </c>
      <c r="C11" t="s">
        <v>51</v>
      </c>
      <c r="D11" t="s">
        <v>52</v>
      </c>
      <c r="E11">
        <v>1.52</v>
      </c>
      <c r="F11">
        <v>6.8</v>
      </c>
      <c r="G11" t="s">
        <v>39</v>
      </c>
      <c r="H11" t="s">
        <v>18</v>
      </c>
      <c r="I11" t="s">
        <v>19</v>
      </c>
      <c r="J11" t="s">
        <v>20</v>
      </c>
      <c r="K11" t="s">
        <v>21</v>
      </c>
      <c r="L11">
        <v>34.479999999999997</v>
      </c>
      <c r="M11">
        <v>1</v>
      </c>
      <c r="N11">
        <f t="shared" si="0"/>
        <v>0.16637931034482759</v>
      </c>
    </row>
    <row r="12" spans="1:15" x14ac:dyDescent="0.3">
      <c r="A12" t="s">
        <v>40</v>
      </c>
      <c r="B12" t="s">
        <v>50</v>
      </c>
      <c r="C12" t="s">
        <v>53</v>
      </c>
      <c r="D12" t="s">
        <v>54</v>
      </c>
      <c r="E12">
        <v>1.53</v>
      </c>
      <c r="F12">
        <v>6.8</v>
      </c>
      <c r="G12" t="s">
        <v>55</v>
      </c>
      <c r="H12" t="s">
        <v>18</v>
      </c>
      <c r="I12" t="s">
        <v>19</v>
      </c>
      <c r="J12" t="s">
        <v>20</v>
      </c>
      <c r="K12" t="s">
        <v>21</v>
      </c>
      <c r="L12">
        <v>34.479999999999997</v>
      </c>
      <c r="M12">
        <v>1</v>
      </c>
      <c r="N12">
        <f t="shared" si="0"/>
        <v>0.16637931034482759</v>
      </c>
    </row>
    <row r="13" spans="1:15" x14ac:dyDescent="0.3">
      <c r="A13" t="s">
        <v>40</v>
      </c>
      <c r="B13" t="s">
        <v>56</v>
      </c>
      <c r="C13" t="s">
        <v>42</v>
      </c>
      <c r="D13" t="s">
        <v>57</v>
      </c>
      <c r="E13">
        <v>1.55</v>
      </c>
      <c r="F13">
        <v>6.4</v>
      </c>
      <c r="G13" t="s">
        <v>32</v>
      </c>
      <c r="H13" t="s">
        <v>18</v>
      </c>
      <c r="I13" t="s">
        <v>19</v>
      </c>
      <c r="J13" t="s">
        <v>20</v>
      </c>
      <c r="K13" t="s">
        <v>21</v>
      </c>
      <c r="L13">
        <v>37.04</v>
      </c>
      <c r="M13">
        <v>1</v>
      </c>
      <c r="N13">
        <f t="shared" si="0"/>
        <v>0.1787037037037037</v>
      </c>
    </row>
    <row r="14" spans="1:15" x14ac:dyDescent="0.3">
      <c r="A14" t="s">
        <v>40</v>
      </c>
      <c r="B14" t="s">
        <v>58</v>
      </c>
      <c r="C14" t="s">
        <v>59</v>
      </c>
      <c r="D14" t="s">
        <v>60</v>
      </c>
      <c r="E14">
        <v>1.58</v>
      </c>
      <c r="F14">
        <v>5.7</v>
      </c>
      <c r="G14" t="s">
        <v>25</v>
      </c>
      <c r="H14" t="s">
        <v>18</v>
      </c>
      <c r="I14" t="s">
        <v>19</v>
      </c>
      <c r="J14" t="s">
        <v>20</v>
      </c>
      <c r="K14" t="s">
        <v>21</v>
      </c>
      <c r="L14">
        <v>42.55</v>
      </c>
      <c r="M14">
        <v>1</v>
      </c>
      <c r="N14">
        <f t="shared" si="0"/>
        <v>0.2053191489361702</v>
      </c>
    </row>
    <row r="15" spans="1:15" x14ac:dyDescent="0.3">
      <c r="A15" t="s">
        <v>40</v>
      </c>
      <c r="B15" t="s">
        <v>58</v>
      </c>
      <c r="C15" t="s">
        <v>59</v>
      </c>
      <c r="D15" t="s">
        <v>61</v>
      </c>
      <c r="E15">
        <v>1.58</v>
      </c>
      <c r="F15">
        <v>5.2</v>
      </c>
      <c r="G15" t="s">
        <v>39</v>
      </c>
      <c r="H15" t="s">
        <v>18</v>
      </c>
      <c r="I15" t="s">
        <v>19</v>
      </c>
      <c r="J15" t="s">
        <v>20</v>
      </c>
      <c r="K15" t="s">
        <v>21</v>
      </c>
      <c r="L15">
        <v>47.62</v>
      </c>
      <c r="M15">
        <v>1</v>
      </c>
      <c r="N15">
        <f t="shared" si="0"/>
        <v>0.22976190476190475</v>
      </c>
    </row>
    <row r="16" spans="1:15" x14ac:dyDescent="0.3">
      <c r="A16" t="s">
        <v>40</v>
      </c>
      <c r="B16" t="s">
        <v>62</v>
      </c>
      <c r="C16" t="s">
        <v>63</v>
      </c>
      <c r="D16" t="s">
        <v>64</v>
      </c>
      <c r="E16">
        <v>1.61</v>
      </c>
      <c r="F16">
        <v>6.8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>
        <v>34.479999999999997</v>
      </c>
      <c r="M16">
        <v>1</v>
      </c>
      <c r="N16">
        <f t="shared" si="0"/>
        <v>0.16637931034482759</v>
      </c>
    </row>
    <row r="17" spans="1:14" x14ac:dyDescent="0.3">
      <c r="A17" t="s">
        <v>40</v>
      </c>
      <c r="B17" t="s">
        <v>62</v>
      </c>
      <c r="C17" t="s">
        <v>63</v>
      </c>
      <c r="D17" t="s">
        <v>65</v>
      </c>
      <c r="E17">
        <v>1.6</v>
      </c>
      <c r="F17">
        <v>7</v>
      </c>
      <c r="G17" t="s">
        <v>39</v>
      </c>
      <c r="H17" t="s">
        <v>18</v>
      </c>
      <c r="I17" t="s">
        <v>19</v>
      </c>
      <c r="J17" t="s">
        <v>20</v>
      </c>
      <c r="K17" t="s">
        <v>21</v>
      </c>
      <c r="L17">
        <v>33.33</v>
      </c>
      <c r="M17">
        <v>1</v>
      </c>
      <c r="N17">
        <f t="shared" si="0"/>
        <v>0.16083333333333333</v>
      </c>
    </row>
    <row r="18" spans="1:14" x14ac:dyDescent="0.3">
      <c r="A18" t="s">
        <v>40</v>
      </c>
      <c r="B18" t="s">
        <v>66</v>
      </c>
      <c r="C18" t="s">
        <v>67</v>
      </c>
      <c r="D18" t="s">
        <v>68</v>
      </c>
      <c r="E18">
        <v>1.65</v>
      </c>
      <c r="F18">
        <v>6.2</v>
      </c>
      <c r="G18" t="s">
        <v>25</v>
      </c>
      <c r="H18" t="s">
        <v>18</v>
      </c>
      <c r="I18" t="s">
        <v>19</v>
      </c>
      <c r="J18" t="s">
        <v>20</v>
      </c>
      <c r="K18" t="s">
        <v>21</v>
      </c>
      <c r="L18">
        <v>38.46</v>
      </c>
      <c r="M18">
        <v>1</v>
      </c>
      <c r="N18">
        <f t="shared" si="0"/>
        <v>0.18557692307692306</v>
      </c>
    </row>
    <row r="19" spans="1:14" x14ac:dyDescent="0.3">
      <c r="A19" t="s">
        <v>40</v>
      </c>
      <c r="B19" t="s">
        <v>69</v>
      </c>
      <c r="C19" t="s">
        <v>70</v>
      </c>
      <c r="D19" t="s">
        <v>71</v>
      </c>
      <c r="E19">
        <v>1.62</v>
      </c>
      <c r="F19">
        <v>7.6</v>
      </c>
      <c r="G19" t="s">
        <v>72</v>
      </c>
      <c r="H19" t="s">
        <v>18</v>
      </c>
      <c r="I19" t="s">
        <v>19</v>
      </c>
      <c r="J19" t="s">
        <v>20</v>
      </c>
      <c r="K19" t="s">
        <v>21</v>
      </c>
      <c r="L19">
        <v>30.3</v>
      </c>
      <c r="M19">
        <v>1</v>
      </c>
      <c r="N19">
        <f t="shared" si="0"/>
        <v>0.14621212121212121</v>
      </c>
    </row>
    <row r="20" spans="1:14" x14ac:dyDescent="0.3">
      <c r="A20" t="s">
        <v>40</v>
      </c>
      <c r="B20" t="s">
        <v>69</v>
      </c>
      <c r="C20" t="s">
        <v>67</v>
      </c>
      <c r="D20" t="s">
        <v>73</v>
      </c>
      <c r="E20">
        <v>1.5</v>
      </c>
      <c r="F20">
        <v>9.4</v>
      </c>
      <c r="G20" t="s">
        <v>32</v>
      </c>
      <c r="H20" t="s">
        <v>18</v>
      </c>
      <c r="I20" t="s">
        <v>19</v>
      </c>
      <c r="J20" t="s">
        <v>20</v>
      </c>
      <c r="K20" t="s">
        <v>21</v>
      </c>
      <c r="L20">
        <v>23.81</v>
      </c>
      <c r="M20">
        <v>1</v>
      </c>
      <c r="N20">
        <f t="shared" si="0"/>
        <v>0.11488095238095238</v>
      </c>
    </row>
    <row r="21" spans="1:14" x14ac:dyDescent="0.3">
      <c r="A21" t="s">
        <v>40</v>
      </c>
      <c r="B21" t="s">
        <v>74</v>
      </c>
      <c r="C21" t="s">
        <v>75</v>
      </c>
      <c r="D21" t="s">
        <v>76</v>
      </c>
      <c r="E21">
        <v>1.47</v>
      </c>
      <c r="F21">
        <v>8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>
        <v>28.57</v>
      </c>
      <c r="M21">
        <v>1</v>
      </c>
      <c r="N21">
        <f t="shared" si="0"/>
        <v>0.13785714285714284</v>
      </c>
    </row>
    <row r="22" spans="1:14" x14ac:dyDescent="0.3">
      <c r="A22" t="s">
        <v>40</v>
      </c>
      <c r="B22" t="s">
        <v>77</v>
      </c>
      <c r="C22" t="s">
        <v>78</v>
      </c>
      <c r="D22" t="s">
        <v>79</v>
      </c>
      <c r="E22">
        <v>1.62</v>
      </c>
      <c r="F22">
        <v>6.6</v>
      </c>
      <c r="G22" t="s">
        <v>32</v>
      </c>
      <c r="H22" t="s">
        <v>18</v>
      </c>
      <c r="I22" t="s">
        <v>19</v>
      </c>
      <c r="J22" t="s">
        <v>20</v>
      </c>
      <c r="K22" t="s">
        <v>21</v>
      </c>
      <c r="L22">
        <v>35.71</v>
      </c>
      <c r="M22">
        <v>1</v>
      </c>
      <c r="N22">
        <f t="shared" si="0"/>
        <v>0.17232142857142857</v>
      </c>
    </row>
    <row r="23" spans="1:14" x14ac:dyDescent="0.3">
      <c r="A23" t="s">
        <v>40</v>
      </c>
      <c r="B23" t="s">
        <v>80</v>
      </c>
      <c r="C23" t="s">
        <v>81</v>
      </c>
      <c r="D23" t="s">
        <v>82</v>
      </c>
      <c r="E23">
        <v>1.44</v>
      </c>
      <c r="F23">
        <v>9.6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>
        <v>23.26</v>
      </c>
      <c r="M23">
        <v>1</v>
      </c>
      <c r="N23">
        <f t="shared" si="0"/>
        <v>0.11220930232558139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2026-08-31T19:45:27Z</dcterms:created>
  <dcterms:modified xsi:type="dcterms:W3CDTF">2026-08-31T19:48:30Z</dcterms:modified>
</cp:coreProperties>
</file>