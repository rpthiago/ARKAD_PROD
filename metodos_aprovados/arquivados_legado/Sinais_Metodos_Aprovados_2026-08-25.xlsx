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"/>
    </mc:Choice>
  </mc:AlternateContent>
  <xr:revisionPtr revIDLastSave="12" documentId="11_2B59D18754BA3E647B79371159A1B0F24E23FF46" xr6:coauthVersionLast="47" xr6:coauthVersionMax="47" xr10:uidLastSave="{F8E9965F-B8DA-4E0F-B9EA-DC38B3EC63EC}"/>
  <bookViews>
    <workbookView xWindow="-108" yWindow="-108" windowWidth="23256" windowHeight="12456" xr2:uid="{00000000-000D-0000-FFFF-FFFF00000000}"/>
  </bookViews>
  <sheets>
    <sheet name="Sinais_Aprov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</calcChain>
</file>

<file path=xl/sharedStrings.xml><?xml version="1.0" encoding="utf-8"?>
<sst xmlns="http://schemas.openxmlformats.org/spreadsheetml/2006/main" count="58" uniqueCount="34">
  <si>
    <t>Data</t>
  </si>
  <si>
    <t>Hora</t>
  </si>
  <si>
    <t>Liga</t>
  </si>
  <si>
    <t>Jogo</t>
  </si>
  <si>
    <t>Método</t>
  </si>
  <si>
    <t>Mercado</t>
  </si>
  <si>
    <t>Lado</t>
  </si>
  <si>
    <t>Odd_Entrada</t>
  </si>
  <si>
    <t>Odd_Fav</t>
  </si>
  <si>
    <t>Expectativa_WR</t>
  </si>
  <si>
    <t>EV_Estimado</t>
  </si>
  <si>
    <t>2026-08-25</t>
  </si>
  <si>
    <t>14:30</t>
  </si>
  <si>
    <t>SOUTH AFRICA 1</t>
  </si>
  <si>
    <t>Orlando Pirates (SA) x Sekhukhune United</t>
  </si>
  <si>
    <t>Lay Under 0.5 FT (Fav)</t>
  </si>
  <si>
    <t>Under 0.5 FT</t>
  </si>
  <si>
    <t>LAY</t>
  </si>
  <si>
    <t>94.3%</t>
  </si>
  <si>
    <t>+3.18%</t>
  </si>
  <si>
    <t>Lay Draw (Fav &lt;= 1.40)</t>
  </si>
  <si>
    <t>Match Odds (Draw)</t>
  </si>
  <si>
    <t>85.8%</t>
  </si>
  <si>
    <t>+3.26%</t>
  </si>
  <si>
    <t>Siwelele FC x Chippa Utd</t>
  </si>
  <si>
    <t>Lay 0x1 Super Fav</t>
  </si>
  <si>
    <t>Correct Score (0x1)</t>
  </si>
  <si>
    <t>94.2%</t>
  </si>
  <si>
    <t>+2.59%</t>
  </si>
  <si>
    <t>16:15</t>
  </si>
  <si>
    <t>ICELAND 2</t>
  </si>
  <si>
    <t>Afturelding x Grotta</t>
  </si>
  <si>
    <t>1/0</t>
  </si>
  <si>
    <t>P/L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</si>
</sst>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M2" sqref="M2"/>
    </sheetView>
  </sheetViews>
  <sheetFormatPr defaultRowHeight="14.4" x14ac:dyDescent="0.3"/>
  <cols>
    <col min="1" max="1" width="13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32</v>
      </c>
      <c r="M1" s="2" t="s">
        <v>33</v>
      </c>
    </row>
    <row r="2" spans="1:13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11.55</v>
      </c>
      <c r="I2">
        <v>1.36</v>
      </c>
      <c r="J2" t="s">
        <v>18</v>
      </c>
      <c r="K2" t="s">
        <v>19</v>
      </c>
      <c r="L2">
        <v>1</v>
      </c>
      <c r="M2">
        <f>IF(L2=1,0.965/(H2-1),-1)</f>
        <v>9.1469194312796195E-2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20</v>
      </c>
      <c r="F3" t="s">
        <v>21</v>
      </c>
      <c r="G3" t="s">
        <v>17</v>
      </c>
      <c r="H3">
        <v>4.84</v>
      </c>
      <c r="I3">
        <v>1.36</v>
      </c>
      <c r="J3" t="s">
        <v>22</v>
      </c>
      <c r="K3" t="s">
        <v>23</v>
      </c>
      <c r="L3">
        <v>1</v>
      </c>
      <c r="M3">
        <f t="shared" ref="M3:M6" si="0">IF(L3=1,0.965/(H3-1),-1)</f>
        <v>0.25130208333333331</v>
      </c>
    </row>
    <row r="4" spans="1:13" x14ac:dyDescent="0.3">
      <c r="A4" t="s">
        <v>11</v>
      </c>
      <c r="B4" t="s">
        <v>12</v>
      </c>
      <c r="C4" t="s">
        <v>13</v>
      </c>
      <c r="D4" t="s">
        <v>24</v>
      </c>
      <c r="E4" t="s">
        <v>25</v>
      </c>
      <c r="F4" t="s">
        <v>26</v>
      </c>
      <c r="G4" t="s">
        <v>17</v>
      </c>
      <c r="H4">
        <v>14.5</v>
      </c>
      <c r="I4">
        <v>1.9</v>
      </c>
      <c r="J4" t="s">
        <v>27</v>
      </c>
      <c r="K4" t="s">
        <v>28</v>
      </c>
      <c r="L4">
        <v>1</v>
      </c>
      <c r="M4">
        <f t="shared" si="0"/>
        <v>7.1481481481481479E-2</v>
      </c>
    </row>
    <row r="5" spans="1:13" x14ac:dyDescent="0.3">
      <c r="A5" t="s">
        <v>11</v>
      </c>
      <c r="B5" t="s">
        <v>29</v>
      </c>
      <c r="C5" t="s">
        <v>30</v>
      </c>
      <c r="D5" t="s">
        <v>31</v>
      </c>
      <c r="E5" t="s">
        <v>15</v>
      </c>
      <c r="F5" t="s">
        <v>16</v>
      </c>
      <c r="G5" t="s">
        <v>17</v>
      </c>
      <c r="H5">
        <v>12.6</v>
      </c>
      <c r="I5">
        <v>1.26</v>
      </c>
      <c r="J5" t="s">
        <v>18</v>
      </c>
      <c r="K5" t="s">
        <v>19</v>
      </c>
      <c r="L5">
        <v>1</v>
      </c>
      <c r="M5">
        <f t="shared" si="0"/>
        <v>8.3189655172413793E-2</v>
      </c>
    </row>
    <row r="6" spans="1:13" x14ac:dyDescent="0.3">
      <c r="A6" t="s">
        <v>11</v>
      </c>
      <c r="B6" t="s">
        <v>29</v>
      </c>
      <c r="C6" t="s">
        <v>30</v>
      </c>
      <c r="D6" t="s">
        <v>31</v>
      </c>
      <c r="E6" t="s">
        <v>20</v>
      </c>
      <c r="F6" t="s">
        <v>21</v>
      </c>
      <c r="G6" t="s">
        <v>17</v>
      </c>
      <c r="H6">
        <v>7.62</v>
      </c>
      <c r="I6">
        <v>1.26</v>
      </c>
      <c r="J6" t="s">
        <v>22</v>
      </c>
      <c r="K6" t="s">
        <v>23</v>
      </c>
      <c r="L6">
        <v>1</v>
      </c>
      <c r="M6">
        <f t="shared" si="0"/>
        <v>0.14577039274924469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Sinais_Aprovados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2026-08-28T21:09:24Z</dcterms:created>
  <dcterms:modified xsi:type="dcterms:W3CDTF">2026-09-01T02:06:31Z</dcterms:modified>
</cp:coreProperties>
</file>