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21df80ec97692de0/Documentos/GitHub/ARKAD_PROD/metodos_aprovados/"/>
    </mc:Choice>
  </mc:AlternateContent>
  <xr:revisionPtr revIDLastSave="6" documentId="11_08B534ECD9657E0F6235547658AE763DBDED92D0" xr6:coauthVersionLast="47" xr6:coauthVersionMax="47" xr10:uidLastSave="{F8D5C79E-C854-4AE9-89B8-0CE31493EA7C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3" i="1" l="1"/>
  <c r="M4" i="1"/>
  <c r="M5" i="1"/>
  <c r="M6" i="1"/>
  <c r="M7" i="1"/>
  <c r="M8" i="1"/>
  <c r="M9" i="1"/>
  <c r="M10" i="1"/>
  <c r="M11" i="1"/>
  <c r="M12" i="1"/>
  <c r="M13" i="1"/>
  <c r="M14" i="1"/>
  <c r="M2" i="1"/>
</calcChain>
</file>

<file path=xl/sharedStrings.xml><?xml version="1.0" encoding="utf-8"?>
<sst xmlns="http://schemas.openxmlformats.org/spreadsheetml/2006/main" count="104" uniqueCount="62">
  <si>
    <t>Hora</t>
  </si>
  <si>
    <t>Liga</t>
  </si>
  <si>
    <t>Jogo</t>
  </si>
  <si>
    <t>Método</t>
  </si>
  <si>
    <t>Odd_Entrada</t>
  </si>
  <si>
    <t>Placar</t>
  </si>
  <si>
    <t>Resultado</t>
  </si>
  <si>
    <t>Stake_R$</t>
  </si>
  <si>
    <t>PnL_R$</t>
  </si>
  <si>
    <t>PnL_u</t>
  </si>
  <si>
    <t>Data</t>
  </si>
  <si>
    <t>1/0</t>
  </si>
  <si>
    <t>05:00</t>
  </si>
  <si>
    <t>ROMANIA 2</t>
  </si>
  <si>
    <t>Bihor Oradea x CSL Stefanestii de Jos</t>
  </si>
  <si>
    <t>Lay Draw Super Fav</t>
  </si>
  <si>
    <t>2x0</t>
  </si>
  <si>
    <t>GREEN</t>
  </si>
  <si>
    <t>2026-08-29</t>
  </si>
  <si>
    <t>08:35</t>
  </si>
  <si>
    <t>CHINA 1</t>
  </si>
  <si>
    <t>Chengdu Rongcheng x Liaoning Tieren FC</t>
  </si>
  <si>
    <t>2x1</t>
  </si>
  <si>
    <t>11:00</t>
  </si>
  <si>
    <t>ICELAND 2</t>
  </si>
  <si>
    <t>Afturelding x IF Vestri</t>
  </si>
  <si>
    <t>1x0</t>
  </si>
  <si>
    <t>SCOTLAND 2</t>
  </si>
  <si>
    <t>Partick x Queens Park</t>
  </si>
  <si>
    <t>0x0</t>
  </si>
  <si>
    <t>RED</t>
  </si>
  <si>
    <t>SCOTLAND 1</t>
  </si>
  <si>
    <t>Celtic x Falkirk</t>
  </si>
  <si>
    <t>3x1</t>
  </si>
  <si>
    <t>13:45</t>
  </si>
  <si>
    <t>NETHERLANDS 1</t>
  </si>
  <si>
    <t>AZ Alkmaar x Go Ahead Eagles</t>
  </si>
  <si>
    <t>5x2</t>
  </si>
  <si>
    <t>15:30</t>
  </si>
  <si>
    <t>TURKEY 1</t>
  </si>
  <si>
    <t>Galatasaray x Goztepe</t>
  </si>
  <si>
    <t>15:45</t>
  </si>
  <si>
    <t>ITALY 1</t>
  </si>
  <si>
    <t>Juventus x Parma</t>
  </si>
  <si>
    <t>16:00</t>
  </si>
  <si>
    <t>CROATIA 1</t>
  </si>
  <si>
    <t>Varazdin x Rudes</t>
  </si>
  <si>
    <t>16:30</t>
  </si>
  <si>
    <t>ARGENTINA 2</t>
  </si>
  <si>
    <t>FC Midland x Nueva Chicago</t>
  </si>
  <si>
    <t>Lay 0x1 Super Fav</t>
  </si>
  <si>
    <t>17:00</t>
  </si>
  <si>
    <t>BRAZIL 3</t>
  </si>
  <si>
    <t>Figueirense x Maranhao</t>
  </si>
  <si>
    <t>19:30</t>
  </si>
  <si>
    <t>COLOMBIA 2</t>
  </si>
  <si>
    <t>Real Cartagena x Tigres FC Zipaquira</t>
  </si>
  <si>
    <t>21:30</t>
  </si>
  <si>
    <t>PERU 1</t>
  </si>
  <si>
    <t>Alianza Lima x Deportivo Garcilaso</t>
  </si>
  <si>
    <t>3x4</t>
  </si>
  <si>
    <t>P/L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</si>
</sst>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4"/>
  <sheetViews>
    <sheetView tabSelected="1" workbookViewId="0">
      <selection activeCell="L1" sqref="L1:M2"/>
    </sheetView>
  </sheetViews>
  <sheetFormatPr defaultRowHeight="14.4" x14ac:dyDescent="0.3"/>
  <sheetData>
    <row r="1" spans="1:1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 t="s">
        <v>11</v>
      </c>
      <c r="M1" s="2" t="s">
        <v>61</v>
      </c>
    </row>
    <row r="2" spans="1:13" x14ac:dyDescent="0.3">
      <c r="A2" t="s">
        <v>12</v>
      </c>
      <c r="B2" t="s">
        <v>13</v>
      </c>
      <c r="C2" t="s">
        <v>14</v>
      </c>
      <c r="D2" t="s">
        <v>15</v>
      </c>
      <c r="E2">
        <v>5.77</v>
      </c>
      <c r="F2" t="s">
        <v>16</v>
      </c>
      <c r="G2" t="s">
        <v>17</v>
      </c>
      <c r="H2">
        <v>10.48</v>
      </c>
      <c r="I2">
        <v>10.01</v>
      </c>
      <c r="J2">
        <v>0.95499999999999996</v>
      </c>
      <c r="K2" t="s">
        <v>18</v>
      </c>
      <c r="L2">
        <v>1</v>
      </c>
      <c r="M2">
        <f>IF(L2=1,0.965/(E2-1),-1)</f>
        <v>0.20230607966457023</v>
      </c>
    </row>
    <row r="3" spans="1:13" x14ac:dyDescent="0.3">
      <c r="A3" t="s">
        <v>19</v>
      </c>
      <c r="B3" t="s">
        <v>20</v>
      </c>
      <c r="C3" t="s">
        <v>21</v>
      </c>
      <c r="D3" t="s">
        <v>15</v>
      </c>
      <c r="E3">
        <v>5.97</v>
      </c>
      <c r="F3" t="s">
        <v>22</v>
      </c>
      <c r="G3" t="s">
        <v>17</v>
      </c>
      <c r="H3">
        <v>10.06</v>
      </c>
      <c r="I3">
        <v>9.61</v>
      </c>
      <c r="J3">
        <v>0.95499999999999996</v>
      </c>
      <c r="K3" t="s">
        <v>18</v>
      </c>
      <c r="L3">
        <v>1</v>
      </c>
      <c r="M3">
        <f t="shared" ref="M3:M14" si="0">IF(L3=1,0.965/(E3-1),-1)</f>
        <v>0.19416498993963782</v>
      </c>
    </row>
    <row r="4" spans="1:13" x14ac:dyDescent="0.3">
      <c r="A4" t="s">
        <v>23</v>
      </c>
      <c r="B4" t="s">
        <v>24</v>
      </c>
      <c r="C4" t="s">
        <v>25</v>
      </c>
      <c r="D4" t="s">
        <v>15</v>
      </c>
      <c r="E4">
        <v>8.86</v>
      </c>
      <c r="F4" t="s">
        <v>26</v>
      </c>
      <c r="G4" t="s">
        <v>17</v>
      </c>
      <c r="H4">
        <v>6.36</v>
      </c>
      <c r="I4">
        <v>6.07</v>
      </c>
      <c r="J4">
        <v>0.95499999999999996</v>
      </c>
      <c r="K4" t="s">
        <v>18</v>
      </c>
      <c r="L4">
        <v>1</v>
      </c>
      <c r="M4">
        <f t="shared" si="0"/>
        <v>0.1227735368956743</v>
      </c>
    </row>
    <row r="5" spans="1:13" x14ac:dyDescent="0.3">
      <c r="A5" t="s">
        <v>23</v>
      </c>
      <c r="B5" t="s">
        <v>27</v>
      </c>
      <c r="C5" t="s">
        <v>28</v>
      </c>
      <c r="D5" t="s">
        <v>15</v>
      </c>
      <c r="E5">
        <v>5.67</v>
      </c>
      <c r="F5" t="s">
        <v>29</v>
      </c>
      <c r="G5" t="s">
        <v>30</v>
      </c>
      <c r="H5">
        <v>10.71</v>
      </c>
      <c r="I5">
        <v>-50</v>
      </c>
      <c r="J5">
        <v>-4.67</v>
      </c>
      <c r="K5" t="s">
        <v>18</v>
      </c>
      <c r="L5">
        <v>0</v>
      </c>
      <c r="M5">
        <f t="shared" si="0"/>
        <v>-1</v>
      </c>
    </row>
    <row r="6" spans="1:13" x14ac:dyDescent="0.3">
      <c r="A6" t="s">
        <v>23</v>
      </c>
      <c r="B6" t="s">
        <v>31</v>
      </c>
      <c r="C6" t="s">
        <v>32</v>
      </c>
      <c r="D6" t="s">
        <v>15</v>
      </c>
      <c r="E6">
        <v>7</v>
      </c>
      <c r="F6" t="s">
        <v>33</v>
      </c>
      <c r="G6" t="s">
        <v>17</v>
      </c>
      <c r="H6">
        <v>8.33</v>
      </c>
      <c r="I6">
        <v>7.96</v>
      </c>
      <c r="J6">
        <v>0.95499999999999996</v>
      </c>
      <c r="K6" t="s">
        <v>18</v>
      </c>
      <c r="L6">
        <v>1</v>
      </c>
      <c r="M6">
        <f t="shared" si="0"/>
        <v>0.16083333333333333</v>
      </c>
    </row>
    <row r="7" spans="1:13" x14ac:dyDescent="0.3">
      <c r="A7" t="s">
        <v>34</v>
      </c>
      <c r="B7" t="s">
        <v>35</v>
      </c>
      <c r="C7" t="s">
        <v>36</v>
      </c>
      <c r="D7" t="s">
        <v>15</v>
      </c>
      <c r="E7">
        <v>5.97</v>
      </c>
      <c r="F7" t="s">
        <v>37</v>
      </c>
      <c r="G7" t="s">
        <v>17</v>
      </c>
      <c r="H7">
        <v>10.06</v>
      </c>
      <c r="I7">
        <v>9.61</v>
      </c>
      <c r="J7">
        <v>0.95499999999999996</v>
      </c>
      <c r="K7" t="s">
        <v>18</v>
      </c>
      <c r="L7">
        <v>1</v>
      </c>
      <c r="M7">
        <f t="shared" si="0"/>
        <v>0.19416498993963782</v>
      </c>
    </row>
    <row r="8" spans="1:13" x14ac:dyDescent="0.3">
      <c r="A8" t="s">
        <v>38</v>
      </c>
      <c r="B8" t="s">
        <v>39</v>
      </c>
      <c r="C8" t="s">
        <v>40</v>
      </c>
      <c r="D8" t="s">
        <v>15</v>
      </c>
      <c r="E8">
        <v>6.18</v>
      </c>
      <c r="F8" t="s">
        <v>33</v>
      </c>
      <c r="G8" t="s">
        <v>17</v>
      </c>
      <c r="H8">
        <v>9.65</v>
      </c>
      <c r="I8">
        <v>9.2200000000000006</v>
      </c>
      <c r="J8">
        <v>0.95499999999999996</v>
      </c>
      <c r="K8" t="s">
        <v>18</v>
      </c>
      <c r="L8">
        <v>1</v>
      </c>
      <c r="M8">
        <f t="shared" si="0"/>
        <v>0.18629343629343631</v>
      </c>
    </row>
    <row r="9" spans="1:13" x14ac:dyDescent="0.3">
      <c r="A9" t="s">
        <v>41</v>
      </c>
      <c r="B9" t="s">
        <v>42</v>
      </c>
      <c r="C9" t="s">
        <v>43</v>
      </c>
      <c r="D9" t="s">
        <v>15</v>
      </c>
      <c r="E9">
        <v>6.8</v>
      </c>
      <c r="F9" t="s">
        <v>16</v>
      </c>
      <c r="G9" t="s">
        <v>17</v>
      </c>
      <c r="H9">
        <v>8.6199999999999992</v>
      </c>
      <c r="I9">
        <v>8.23</v>
      </c>
      <c r="J9">
        <v>0.95499999999999996</v>
      </c>
      <c r="K9" t="s">
        <v>18</v>
      </c>
      <c r="L9">
        <v>1</v>
      </c>
      <c r="M9">
        <f t="shared" si="0"/>
        <v>0.16637931034482759</v>
      </c>
    </row>
    <row r="10" spans="1:13" x14ac:dyDescent="0.3">
      <c r="A10" t="s">
        <v>44</v>
      </c>
      <c r="B10" t="s">
        <v>45</v>
      </c>
      <c r="C10" t="s">
        <v>46</v>
      </c>
      <c r="D10" t="s">
        <v>15</v>
      </c>
      <c r="E10">
        <v>5.97</v>
      </c>
      <c r="F10" t="s">
        <v>26</v>
      </c>
      <c r="G10" t="s">
        <v>17</v>
      </c>
      <c r="H10">
        <v>10.06</v>
      </c>
      <c r="I10">
        <v>9.61</v>
      </c>
      <c r="J10">
        <v>0.95499999999999996</v>
      </c>
      <c r="K10" t="s">
        <v>18</v>
      </c>
      <c r="L10">
        <v>1</v>
      </c>
      <c r="M10">
        <f t="shared" si="0"/>
        <v>0.19416498993963782</v>
      </c>
    </row>
    <row r="11" spans="1:13" x14ac:dyDescent="0.3">
      <c r="A11" t="s">
        <v>47</v>
      </c>
      <c r="B11" t="s">
        <v>48</v>
      </c>
      <c r="C11" t="s">
        <v>49</v>
      </c>
      <c r="D11" t="s">
        <v>50</v>
      </c>
      <c r="E11">
        <v>15</v>
      </c>
      <c r="F11" t="s">
        <v>16</v>
      </c>
      <c r="G11" t="s">
        <v>17</v>
      </c>
      <c r="H11">
        <v>3.57</v>
      </c>
      <c r="I11">
        <v>3.41</v>
      </c>
      <c r="J11">
        <v>0.95499999999999996</v>
      </c>
      <c r="K11" t="s">
        <v>18</v>
      </c>
      <c r="L11">
        <v>1</v>
      </c>
      <c r="M11">
        <f t="shared" si="0"/>
        <v>6.8928571428571422E-2</v>
      </c>
    </row>
    <row r="12" spans="1:13" x14ac:dyDescent="0.3">
      <c r="A12" t="s">
        <v>51</v>
      </c>
      <c r="B12" t="s">
        <v>52</v>
      </c>
      <c r="C12" t="s">
        <v>53</v>
      </c>
      <c r="D12" t="s">
        <v>50</v>
      </c>
      <c r="E12">
        <v>15</v>
      </c>
      <c r="F12" t="s">
        <v>22</v>
      </c>
      <c r="G12" t="s">
        <v>17</v>
      </c>
      <c r="H12">
        <v>3.57</v>
      </c>
      <c r="I12">
        <v>3.41</v>
      </c>
      <c r="J12">
        <v>0.95499999999999996</v>
      </c>
      <c r="K12" t="s">
        <v>18</v>
      </c>
      <c r="L12">
        <v>1</v>
      </c>
      <c r="M12">
        <f t="shared" si="0"/>
        <v>6.8928571428571422E-2</v>
      </c>
    </row>
    <row r="13" spans="1:13" x14ac:dyDescent="0.3">
      <c r="A13" t="s">
        <v>54</v>
      </c>
      <c r="B13" t="s">
        <v>55</v>
      </c>
      <c r="C13" t="s">
        <v>56</v>
      </c>
      <c r="D13" t="s">
        <v>15</v>
      </c>
      <c r="E13">
        <v>5.77</v>
      </c>
      <c r="F13" t="s">
        <v>26</v>
      </c>
      <c r="G13" t="s">
        <v>17</v>
      </c>
      <c r="H13">
        <v>10.48</v>
      </c>
      <c r="I13">
        <v>10.01</v>
      </c>
      <c r="J13">
        <v>0.95499999999999996</v>
      </c>
      <c r="K13" t="s">
        <v>18</v>
      </c>
      <c r="L13">
        <v>1</v>
      </c>
      <c r="M13">
        <f t="shared" si="0"/>
        <v>0.20230607966457023</v>
      </c>
    </row>
    <row r="14" spans="1:13" x14ac:dyDescent="0.3">
      <c r="A14" t="s">
        <v>57</v>
      </c>
      <c r="B14" t="s">
        <v>58</v>
      </c>
      <c r="C14" t="s">
        <v>59</v>
      </c>
      <c r="D14" t="s">
        <v>15</v>
      </c>
      <c r="E14">
        <v>5.25</v>
      </c>
      <c r="F14" t="s">
        <v>60</v>
      </c>
      <c r="G14" t="s">
        <v>17</v>
      </c>
      <c r="H14">
        <v>11.76</v>
      </c>
      <c r="I14">
        <v>11.23</v>
      </c>
      <c r="J14">
        <v>0.95499999999999996</v>
      </c>
      <c r="K14" t="s">
        <v>18</v>
      </c>
      <c r="L14">
        <v>1</v>
      </c>
      <c r="M14">
        <f t="shared" si="0"/>
        <v>0.22705882352941176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thiago Rodrigues</cp:lastModifiedBy>
  <dcterms:created xsi:type="dcterms:W3CDTF">2026-08-30T02:30:57Z</dcterms:created>
  <dcterms:modified xsi:type="dcterms:W3CDTF">2026-09-03T01:23:43Z</dcterms:modified>
</cp:coreProperties>
</file>