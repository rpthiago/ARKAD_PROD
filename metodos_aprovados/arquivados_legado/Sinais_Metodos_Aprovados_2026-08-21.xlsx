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19" documentId="11_2B59D187544A3A6C1BB83811598B00365E0FE921" xr6:coauthVersionLast="47" xr6:coauthVersionMax="47" xr10:uidLastSave="{641950CC-8CC6-43E3-A3EE-A053ADFD11AF}"/>
  <bookViews>
    <workbookView xWindow="-108" yWindow="-108" windowWidth="23256" windowHeight="12456" xr2:uid="{00000000-000D-0000-FFFF-FFFF00000000}"/>
  </bookViews>
  <sheets>
    <sheet name="Sinais_Aprov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</calcChain>
</file>

<file path=xl/sharedStrings.xml><?xml version="1.0" encoding="utf-8"?>
<sst xmlns="http://schemas.openxmlformats.org/spreadsheetml/2006/main" count="103" uniqueCount="47">
  <si>
    <t>Data</t>
  </si>
  <si>
    <t>Hora</t>
  </si>
  <si>
    <t>Liga</t>
  </si>
  <si>
    <t>Jogo</t>
  </si>
  <si>
    <t>Método</t>
  </si>
  <si>
    <t>Mercado</t>
  </si>
  <si>
    <t>Lado</t>
  </si>
  <si>
    <t>Odd_Entrada</t>
  </si>
  <si>
    <t>Odd_Fav</t>
  </si>
  <si>
    <t>Expectativa_WR</t>
  </si>
  <si>
    <t>EV_Estimado</t>
  </si>
  <si>
    <t>2026-08-21</t>
  </si>
  <si>
    <t>11:30</t>
  </si>
  <si>
    <t>ROMANIA 2</t>
  </si>
  <si>
    <t>Chindia Targoviste x CS FC Dinamo Bucuresti</t>
  </si>
  <si>
    <t>Lay Under 0.5 FT (Fav)</t>
  </si>
  <si>
    <t>Under 0.5 FT</t>
  </si>
  <si>
    <t>LAY</t>
  </si>
  <si>
    <t>94.3%</t>
  </si>
  <si>
    <t>+3.18%</t>
  </si>
  <si>
    <t>13:00</t>
  </si>
  <si>
    <t>CZECH 1</t>
  </si>
  <si>
    <t>MFK Karvina x Zizkov</t>
  </si>
  <si>
    <t>Lay Draw (Fav &lt;= 1.40)</t>
  </si>
  <si>
    <t>Match Odds (Draw)</t>
  </si>
  <si>
    <t>85.8%</t>
  </si>
  <si>
    <t>+3.26%</t>
  </si>
  <si>
    <t>ESTONIA 1</t>
  </si>
  <si>
    <t>FCI Tallinn x Trans Narva</t>
  </si>
  <si>
    <t>14:00</t>
  </si>
  <si>
    <t>EGYPT 1</t>
  </si>
  <si>
    <t>Zamalek x Al Ittihad (EGY)</t>
  </si>
  <si>
    <t>15:00</t>
  </si>
  <si>
    <t>BOSNIA 1</t>
  </si>
  <si>
    <t>Sarajevo x FK BSK Banja Luka</t>
  </si>
  <si>
    <t>ICELAND 2</t>
  </si>
  <si>
    <t>Aegir x Afturelding</t>
  </si>
  <si>
    <t>16:00</t>
  </si>
  <si>
    <t>ENGLAND 1</t>
  </si>
  <si>
    <t>Arsenal x Coventry</t>
  </si>
  <si>
    <t>ITALY 3</t>
  </si>
  <si>
    <t>Union Brescia x Carpi</t>
  </si>
  <si>
    <t>19:30</t>
  </si>
  <si>
    <t>BOLIVIA 1</t>
  </si>
  <si>
    <t>The Strongest x Universitario de Vinto</t>
  </si>
  <si>
    <t>1/0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</si>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</sst>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J15" sqref="J15"/>
    </sheetView>
  </sheetViews>
  <sheetFormatPr defaultRowHeight="14.4" x14ac:dyDescent="0.3"/>
  <cols>
    <col min="1" max="1" width="15" customWidth="1"/>
    <col min="5" max="5" width="14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45</v>
      </c>
      <c r="M1" s="2" t="s">
        <v>46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7.35</v>
      </c>
      <c r="I2">
        <v>1.07</v>
      </c>
      <c r="J2" t="s">
        <v>18</v>
      </c>
      <c r="K2" t="s">
        <v>19</v>
      </c>
      <c r="L2">
        <v>1</v>
      </c>
      <c r="M2">
        <f>IF(L2=1,0.965/(H2-1),-1)</f>
        <v>0.15196850393700786</v>
      </c>
    </row>
    <row r="3" spans="1:13" x14ac:dyDescent="0.3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>
        <v>5.46</v>
      </c>
      <c r="I3">
        <v>1.38</v>
      </c>
      <c r="J3" t="s">
        <v>25</v>
      </c>
      <c r="K3" t="s">
        <v>26</v>
      </c>
      <c r="L3">
        <v>1</v>
      </c>
      <c r="M3">
        <f t="shared" ref="M3:M11" si="0">IF(L3=1,0.965/(H3-1),-1)</f>
        <v>0.21636771300448429</v>
      </c>
    </row>
    <row r="4" spans="1:13" x14ac:dyDescent="0.3">
      <c r="A4" t="s">
        <v>11</v>
      </c>
      <c r="B4" t="s">
        <v>20</v>
      </c>
      <c r="C4" t="s">
        <v>27</v>
      </c>
      <c r="D4" t="s">
        <v>28</v>
      </c>
      <c r="E4" t="s">
        <v>23</v>
      </c>
      <c r="F4" t="s">
        <v>24</v>
      </c>
      <c r="G4" t="s">
        <v>17</v>
      </c>
      <c r="H4">
        <v>9.89</v>
      </c>
      <c r="I4">
        <v>1.1499999999999999</v>
      </c>
      <c r="J4" t="s">
        <v>25</v>
      </c>
      <c r="K4" t="s">
        <v>26</v>
      </c>
      <c r="L4">
        <v>1</v>
      </c>
      <c r="M4">
        <f t="shared" si="0"/>
        <v>0.10854893138357705</v>
      </c>
    </row>
    <row r="5" spans="1:13" x14ac:dyDescent="0.3">
      <c r="A5" t="s">
        <v>11</v>
      </c>
      <c r="B5" t="s">
        <v>29</v>
      </c>
      <c r="C5" t="s">
        <v>30</v>
      </c>
      <c r="D5" t="s">
        <v>31</v>
      </c>
      <c r="E5" t="s">
        <v>15</v>
      </c>
      <c r="F5" t="s">
        <v>16</v>
      </c>
      <c r="G5" t="s">
        <v>17</v>
      </c>
      <c r="H5">
        <v>11.03</v>
      </c>
      <c r="I5">
        <v>1.5</v>
      </c>
      <c r="J5" t="s">
        <v>18</v>
      </c>
      <c r="K5" t="s">
        <v>19</v>
      </c>
      <c r="L5">
        <v>0</v>
      </c>
      <c r="M5">
        <f t="shared" si="0"/>
        <v>-1</v>
      </c>
    </row>
    <row r="6" spans="1:13" x14ac:dyDescent="0.3">
      <c r="A6" t="s">
        <v>11</v>
      </c>
      <c r="B6" t="s">
        <v>32</v>
      </c>
      <c r="C6" t="s">
        <v>33</v>
      </c>
      <c r="D6" t="s">
        <v>34</v>
      </c>
      <c r="E6" t="s">
        <v>23</v>
      </c>
      <c r="F6" t="s">
        <v>24</v>
      </c>
      <c r="G6" t="s">
        <v>17</v>
      </c>
      <c r="H6">
        <v>5.77</v>
      </c>
      <c r="I6">
        <v>1.32</v>
      </c>
      <c r="J6" t="s">
        <v>25</v>
      </c>
      <c r="K6" t="s">
        <v>26</v>
      </c>
      <c r="L6">
        <v>1</v>
      </c>
      <c r="M6">
        <f t="shared" si="0"/>
        <v>0.20230607966457023</v>
      </c>
    </row>
    <row r="7" spans="1:13" x14ac:dyDescent="0.3">
      <c r="A7" t="s">
        <v>11</v>
      </c>
      <c r="B7" t="s">
        <v>32</v>
      </c>
      <c r="C7" t="s">
        <v>35</v>
      </c>
      <c r="D7" t="s">
        <v>36</v>
      </c>
      <c r="E7" t="s">
        <v>15</v>
      </c>
      <c r="F7" t="s">
        <v>16</v>
      </c>
      <c r="G7" t="s">
        <v>17</v>
      </c>
      <c r="H7">
        <v>14.7</v>
      </c>
      <c r="I7">
        <v>1.27</v>
      </c>
      <c r="J7" t="s">
        <v>18</v>
      </c>
      <c r="K7" t="s">
        <v>19</v>
      </c>
      <c r="L7">
        <v>1</v>
      </c>
      <c r="M7">
        <f t="shared" si="0"/>
        <v>7.0437956204379565E-2</v>
      </c>
    </row>
    <row r="8" spans="1:13" x14ac:dyDescent="0.3">
      <c r="A8" t="s">
        <v>11</v>
      </c>
      <c r="B8" t="s">
        <v>37</v>
      </c>
      <c r="C8" t="s">
        <v>38</v>
      </c>
      <c r="D8" t="s">
        <v>39</v>
      </c>
      <c r="E8" t="s">
        <v>23</v>
      </c>
      <c r="F8" t="s">
        <v>24</v>
      </c>
      <c r="G8" t="s">
        <v>17</v>
      </c>
      <c r="H8">
        <v>7.83</v>
      </c>
      <c r="I8">
        <v>1.22</v>
      </c>
      <c r="J8" t="s">
        <v>25</v>
      </c>
      <c r="K8" t="s">
        <v>26</v>
      </c>
      <c r="L8">
        <v>1</v>
      </c>
      <c r="M8">
        <f t="shared" si="0"/>
        <v>0.14128843338213762</v>
      </c>
    </row>
    <row r="9" spans="1:13" x14ac:dyDescent="0.3">
      <c r="A9" t="s">
        <v>11</v>
      </c>
      <c r="B9" t="s">
        <v>37</v>
      </c>
      <c r="C9" t="s">
        <v>40</v>
      </c>
      <c r="D9" t="s">
        <v>41</v>
      </c>
      <c r="E9" t="s">
        <v>15</v>
      </c>
      <c r="F9" t="s">
        <v>16</v>
      </c>
      <c r="G9" t="s">
        <v>17</v>
      </c>
      <c r="H9">
        <v>12.6</v>
      </c>
      <c r="I9">
        <v>1.36</v>
      </c>
      <c r="J9" t="s">
        <v>18</v>
      </c>
      <c r="K9" t="s">
        <v>19</v>
      </c>
      <c r="L9">
        <v>1</v>
      </c>
      <c r="M9">
        <f t="shared" si="0"/>
        <v>8.3189655172413793E-2</v>
      </c>
    </row>
    <row r="10" spans="1:13" x14ac:dyDescent="0.3">
      <c r="A10" t="s">
        <v>11</v>
      </c>
      <c r="B10" t="s">
        <v>37</v>
      </c>
      <c r="C10" t="s">
        <v>40</v>
      </c>
      <c r="D10" t="s">
        <v>41</v>
      </c>
      <c r="E10" t="s">
        <v>23</v>
      </c>
      <c r="F10" t="s">
        <v>24</v>
      </c>
      <c r="G10" t="s">
        <v>17</v>
      </c>
      <c r="H10">
        <v>4.9400000000000004</v>
      </c>
      <c r="I10">
        <v>1.36</v>
      </c>
      <c r="J10" t="s">
        <v>25</v>
      </c>
      <c r="K10" t="s">
        <v>26</v>
      </c>
      <c r="L10">
        <v>1</v>
      </c>
      <c r="M10">
        <f t="shared" si="0"/>
        <v>0.24492385786802026</v>
      </c>
    </row>
    <row r="11" spans="1:13" x14ac:dyDescent="0.3">
      <c r="A11" t="s">
        <v>11</v>
      </c>
      <c r="B11" t="s">
        <v>42</v>
      </c>
      <c r="C11" t="s">
        <v>43</v>
      </c>
      <c r="D11" t="s">
        <v>44</v>
      </c>
      <c r="E11" t="s">
        <v>23</v>
      </c>
      <c r="F11" t="s">
        <v>24</v>
      </c>
      <c r="G11" t="s">
        <v>17</v>
      </c>
      <c r="H11">
        <v>5.46</v>
      </c>
      <c r="I11">
        <v>1.4</v>
      </c>
      <c r="J11" t="s">
        <v>25</v>
      </c>
      <c r="K11" t="s">
        <v>26</v>
      </c>
      <c r="L11">
        <v>1</v>
      </c>
      <c r="M11">
        <f t="shared" si="0"/>
        <v>0.21636771300448429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2026-08-28T21:20:00Z</dcterms:created>
  <dcterms:modified xsi:type="dcterms:W3CDTF">2026-09-01T02:07:15Z</dcterms:modified>
</cp:coreProperties>
</file>