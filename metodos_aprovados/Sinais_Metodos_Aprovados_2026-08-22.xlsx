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22" documentId="11_2471718A54FAB02E7F9A3A11595ED87656CD91D5" xr6:coauthVersionLast="47" xr6:coauthVersionMax="47" xr10:uidLastSave="{011D0EE4-C4B9-4A04-AEBF-99A7E02640B8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</calcChain>
</file>

<file path=xl/sharedStrings.xml><?xml version="1.0" encoding="utf-8"?>
<sst xmlns="http://schemas.openxmlformats.org/spreadsheetml/2006/main" count="274" uniqueCount="94">
  <si>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</si>
  <si>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</si>
  <si>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</si>
  <si>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</si>
  <si>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</si>
  <si>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</si>
  <si>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</si>
  <si>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</si>
  <si>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</si>
  <si>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</si>
  <si>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</si>
  <si>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2026-08-22</t>
  </si>
  <si>
    <t>06:30</t>
  </si>
  <si>
    <t>JAPAN 1</t>
  </si>
  <si>
    <t>Okayama x Tokyo-V</t>
  </si>
  <si>
    <t>Lay 0x1 Super Fav</t>
  </si>
  <si>
    <t>Correct Score (0x1)</t>
  </si>
  <si>
    <t>LAY</t>
  </si>
  <si>
    <t>94.2%</t>
  </si>
  <si>
    <t>+2.59%</t>
  </si>
  <si>
    <t>08:30</t>
  </si>
  <si>
    <t>CHINA 1</t>
  </si>
  <si>
    <t>Guangxi Hengchen x Suzhou Dongwu</t>
  </si>
  <si>
    <t>Lay Under 0.5 FT (Fav)</t>
  </si>
  <si>
    <t>Under 0.5 FT</t>
  </si>
  <si>
    <t>94.3%</t>
  </si>
  <si>
    <t>+3.18%</t>
  </si>
  <si>
    <t>11:30</t>
  </si>
  <si>
    <t>NETHERLANDS 2</t>
  </si>
  <si>
    <t>NAC Breda x Jong Ajax Amsterdam</t>
  </si>
  <si>
    <t>Lay Draw (Fav &lt;= 1.40)</t>
  </si>
  <si>
    <t>Match Odds (Draw)</t>
  </si>
  <si>
    <t>85.8%</t>
  </si>
  <si>
    <t>+3.26%</t>
  </si>
  <si>
    <t>12:00</t>
  </si>
  <si>
    <t>SPAIN 1</t>
  </si>
  <si>
    <t>Athletic Bilbao x Sevilla</t>
  </si>
  <si>
    <t>SPAIN 2</t>
  </si>
  <si>
    <t>Oviedo x Leganes</t>
  </si>
  <si>
    <t>13:00</t>
  </si>
  <si>
    <t>BULGARIA 1</t>
  </si>
  <si>
    <t>Ludogorets x Slavia Sofia</t>
  </si>
  <si>
    <t>ICELAND 2</t>
  </si>
  <si>
    <t>Njardvik x Volsungur</t>
  </si>
  <si>
    <t>ITALY 3</t>
  </si>
  <si>
    <t>Cittadella x Pergolettese</t>
  </si>
  <si>
    <t>PERU 1</t>
  </si>
  <si>
    <t>Sport Huancayo x Cesar Vallejo Moquegua</t>
  </si>
  <si>
    <t>13:30</t>
  </si>
  <si>
    <t>ITALY 1</t>
  </si>
  <si>
    <t>Inter x AC Monza</t>
  </si>
  <si>
    <t>14:00</t>
  </si>
  <si>
    <t>EGYPT 1</t>
  </si>
  <si>
    <t>Ghazl El Mahallah x Pyramids</t>
  </si>
  <si>
    <t>GREECE 1</t>
  </si>
  <si>
    <t>AEK Athens x Iraklis</t>
  </si>
  <si>
    <t>15:00</t>
  </si>
  <si>
    <t>ARGENTINA 2</t>
  </si>
  <si>
    <t>Tristan Suarez x Agropecuario</t>
  </si>
  <si>
    <t>CZECH 1</t>
  </si>
  <si>
    <t>Slavia Prague x Bohemians 1905</t>
  </si>
  <si>
    <t>FRANCE 2</t>
  </si>
  <si>
    <t>St Etienne x Grenoble</t>
  </si>
  <si>
    <t>SAUDI ARABIA 1</t>
  </si>
  <si>
    <t>Al Ahli x Abha</t>
  </si>
  <si>
    <t>15:15</t>
  </si>
  <si>
    <t>PFC Levski Sofia x Spartak Varna</t>
  </si>
  <si>
    <t>15:30</t>
  </si>
  <si>
    <t>Olympiakos x Atromitos</t>
  </si>
  <si>
    <t>TURKEY 1</t>
  </si>
  <si>
    <t>Fenerbahce x Konyaspor</t>
  </si>
  <si>
    <t>16:00</t>
  </si>
  <si>
    <t>BRAZIL 1</t>
  </si>
  <si>
    <t>Fluminense x Remo</t>
  </si>
  <si>
    <t>ECUADOR 1</t>
  </si>
  <si>
    <t>Univ Catolica (Ecu) x Manta FC</t>
  </si>
  <si>
    <t>Pescara x Pesaro</t>
  </si>
  <si>
    <t>SERBIA 1</t>
  </si>
  <si>
    <t>OFK Beograd x Zemun</t>
  </si>
  <si>
    <t>16:30</t>
  </si>
  <si>
    <t>PORTUGAL 1</t>
  </si>
  <si>
    <t>Sporting Lisbon x Alverca</t>
  </si>
  <si>
    <t>18:30</t>
  </si>
  <si>
    <t>Tecnico Universitario x Guayaquil City</t>
  </si>
  <si>
    <t>20:30</t>
  </si>
  <si>
    <t>USA 1</t>
  </si>
  <si>
    <t>Inter Miami CF x Toronto FC</t>
  </si>
  <si>
    <t>22:15</t>
  </si>
  <si>
    <t>COLOMBIA 1</t>
  </si>
  <si>
    <t>Ind Medellin x Cucuta Deportivo</t>
  </si>
  <si>
    <t>22:30</t>
  </si>
  <si>
    <t>Vancouver Whitecaps x FC Dallas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</si>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</sst>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0"/>
  <sheetViews>
    <sheetView tabSelected="1" workbookViewId="0">
      <selection activeCell="M2" sqref="M2"/>
    </sheetView>
  </sheetViews>
  <sheetFormatPr defaultRowHeight="14.4" x14ac:dyDescent="0.3"/>
  <cols>
    <col min="4" max="4" width="14" customWidth="1"/>
    <col min="5" max="5" width="17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92</v>
      </c>
      <c r="M1" s="2" t="s">
        <v>93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14</v>
      </c>
      <c r="I2">
        <v>1.86</v>
      </c>
      <c r="J2" t="s">
        <v>18</v>
      </c>
      <c r="K2" t="s">
        <v>19</v>
      </c>
      <c r="L2">
        <v>1</v>
      </c>
      <c r="M2">
        <f>IF(L2=1,0.965/(H2-1),-1)</f>
        <v>7.4230769230769225E-2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14.18</v>
      </c>
      <c r="I3">
        <v>1.47</v>
      </c>
      <c r="J3" t="s">
        <v>25</v>
      </c>
      <c r="K3" t="s">
        <v>26</v>
      </c>
      <c r="L3">
        <v>1</v>
      </c>
      <c r="M3">
        <f t="shared" ref="M3:M30" si="0">IF(L3=1,0.965/(H3-1),-1)</f>
        <v>7.3216995447647953E-2</v>
      </c>
    </row>
    <row r="4" spans="1:13" x14ac:dyDescent="0.3">
      <c r="A4" t="s">
        <v>11</v>
      </c>
      <c r="B4" t="s">
        <v>27</v>
      </c>
      <c r="C4" t="s">
        <v>28</v>
      </c>
      <c r="D4" t="s">
        <v>29</v>
      </c>
      <c r="E4" t="s">
        <v>30</v>
      </c>
      <c r="F4" t="s">
        <v>31</v>
      </c>
      <c r="G4" t="s">
        <v>17</v>
      </c>
      <c r="H4">
        <v>6.8</v>
      </c>
      <c r="I4">
        <v>1.29</v>
      </c>
      <c r="J4" t="s">
        <v>32</v>
      </c>
      <c r="K4" t="s">
        <v>33</v>
      </c>
      <c r="L4">
        <v>1</v>
      </c>
      <c r="M4">
        <f t="shared" si="0"/>
        <v>0.16637931034482759</v>
      </c>
    </row>
    <row r="5" spans="1:13" x14ac:dyDescent="0.3">
      <c r="A5" t="s">
        <v>11</v>
      </c>
      <c r="B5" t="s">
        <v>34</v>
      </c>
      <c r="C5" t="s">
        <v>35</v>
      </c>
      <c r="D5" t="s">
        <v>36</v>
      </c>
      <c r="E5" t="s">
        <v>15</v>
      </c>
      <c r="F5" t="s">
        <v>16</v>
      </c>
      <c r="G5" t="s">
        <v>17</v>
      </c>
      <c r="H5">
        <v>15</v>
      </c>
      <c r="I5">
        <v>1.83</v>
      </c>
      <c r="J5" t="s">
        <v>18</v>
      </c>
      <c r="K5" t="s">
        <v>19</v>
      </c>
      <c r="L5">
        <v>1</v>
      </c>
      <c r="M5">
        <f t="shared" si="0"/>
        <v>6.8928571428571422E-2</v>
      </c>
    </row>
    <row r="6" spans="1:13" x14ac:dyDescent="0.3">
      <c r="A6" t="s">
        <v>11</v>
      </c>
      <c r="B6" t="s">
        <v>34</v>
      </c>
      <c r="C6" t="s">
        <v>37</v>
      </c>
      <c r="D6" t="s">
        <v>38</v>
      </c>
      <c r="E6" t="s">
        <v>15</v>
      </c>
      <c r="F6" t="s">
        <v>16</v>
      </c>
      <c r="G6" t="s">
        <v>17</v>
      </c>
      <c r="H6">
        <v>14</v>
      </c>
      <c r="I6">
        <v>1.89</v>
      </c>
      <c r="J6" t="s">
        <v>18</v>
      </c>
      <c r="K6" t="s">
        <v>19</v>
      </c>
      <c r="L6">
        <v>0</v>
      </c>
      <c r="M6">
        <f t="shared" si="0"/>
        <v>-1</v>
      </c>
    </row>
    <row r="7" spans="1:13" x14ac:dyDescent="0.3">
      <c r="A7" t="s">
        <v>11</v>
      </c>
      <c r="B7" t="s">
        <v>39</v>
      </c>
      <c r="C7" t="s">
        <v>40</v>
      </c>
      <c r="D7" t="s">
        <v>41</v>
      </c>
      <c r="E7" t="s">
        <v>23</v>
      </c>
      <c r="F7" t="s">
        <v>24</v>
      </c>
      <c r="G7" t="s">
        <v>17</v>
      </c>
      <c r="H7">
        <v>14.18</v>
      </c>
      <c r="I7">
        <v>1.36</v>
      </c>
      <c r="J7" t="s">
        <v>25</v>
      </c>
      <c r="K7" t="s">
        <v>26</v>
      </c>
      <c r="L7">
        <v>1</v>
      </c>
      <c r="M7">
        <f t="shared" si="0"/>
        <v>7.3216995447647953E-2</v>
      </c>
    </row>
    <row r="8" spans="1:13" x14ac:dyDescent="0.3">
      <c r="A8" t="s">
        <v>11</v>
      </c>
      <c r="B8" t="s">
        <v>39</v>
      </c>
      <c r="C8" t="s">
        <v>40</v>
      </c>
      <c r="D8" t="s">
        <v>41</v>
      </c>
      <c r="E8" t="s">
        <v>30</v>
      </c>
      <c r="F8" t="s">
        <v>31</v>
      </c>
      <c r="G8" t="s">
        <v>17</v>
      </c>
      <c r="H8">
        <v>5.46</v>
      </c>
      <c r="I8">
        <v>1.36</v>
      </c>
      <c r="J8" t="s">
        <v>32</v>
      </c>
      <c r="K8" t="s">
        <v>33</v>
      </c>
      <c r="L8">
        <v>0</v>
      </c>
      <c r="M8">
        <f t="shared" si="0"/>
        <v>-1</v>
      </c>
    </row>
    <row r="9" spans="1:13" x14ac:dyDescent="0.3">
      <c r="A9" t="s">
        <v>11</v>
      </c>
      <c r="B9" t="s">
        <v>39</v>
      </c>
      <c r="C9" t="s">
        <v>42</v>
      </c>
      <c r="D9" t="s">
        <v>43</v>
      </c>
      <c r="E9" t="s">
        <v>23</v>
      </c>
      <c r="F9" t="s">
        <v>24</v>
      </c>
      <c r="G9" t="s">
        <v>17</v>
      </c>
      <c r="H9">
        <v>9.4499999999999993</v>
      </c>
      <c r="I9">
        <v>1.45</v>
      </c>
      <c r="J9" t="s">
        <v>25</v>
      </c>
      <c r="K9" t="s">
        <v>26</v>
      </c>
      <c r="L9">
        <v>1</v>
      </c>
      <c r="M9">
        <f t="shared" si="0"/>
        <v>0.11420118343195267</v>
      </c>
    </row>
    <row r="10" spans="1:13" x14ac:dyDescent="0.3">
      <c r="A10" t="s">
        <v>11</v>
      </c>
      <c r="B10" t="s">
        <v>39</v>
      </c>
      <c r="C10" t="s">
        <v>44</v>
      </c>
      <c r="D10" t="s">
        <v>45</v>
      </c>
      <c r="E10" t="s">
        <v>23</v>
      </c>
      <c r="F10" t="s">
        <v>24</v>
      </c>
      <c r="G10" t="s">
        <v>17</v>
      </c>
      <c r="H10">
        <v>9.66</v>
      </c>
      <c r="I10">
        <v>1.58</v>
      </c>
      <c r="J10" t="s">
        <v>25</v>
      </c>
      <c r="K10" t="s">
        <v>26</v>
      </c>
      <c r="L10">
        <v>1</v>
      </c>
      <c r="M10">
        <f t="shared" si="0"/>
        <v>0.11143187066974596</v>
      </c>
    </row>
    <row r="11" spans="1:13" x14ac:dyDescent="0.3">
      <c r="A11" t="s">
        <v>11</v>
      </c>
      <c r="B11" t="s">
        <v>39</v>
      </c>
      <c r="C11" t="s">
        <v>46</v>
      </c>
      <c r="D11" t="s">
        <v>47</v>
      </c>
      <c r="E11" t="s">
        <v>30</v>
      </c>
      <c r="F11" t="s">
        <v>31</v>
      </c>
      <c r="G11" t="s">
        <v>17</v>
      </c>
      <c r="H11">
        <v>5.36</v>
      </c>
      <c r="I11">
        <v>1.38</v>
      </c>
      <c r="J11" t="s">
        <v>32</v>
      </c>
      <c r="K11" t="s">
        <v>33</v>
      </c>
      <c r="L11">
        <v>1</v>
      </c>
      <c r="M11">
        <f t="shared" si="0"/>
        <v>0.22133027522935778</v>
      </c>
    </row>
    <row r="12" spans="1:13" x14ac:dyDescent="0.3">
      <c r="A12" t="s">
        <v>11</v>
      </c>
      <c r="B12" t="s">
        <v>48</v>
      </c>
      <c r="C12" t="s">
        <v>49</v>
      </c>
      <c r="D12" t="s">
        <v>50</v>
      </c>
      <c r="E12" t="s">
        <v>30</v>
      </c>
      <c r="F12" t="s">
        <v>31</v>
      </c>
      <c r="G12" t="s">
        <v>17</v>
      </c>
      <c r="H12">
        <v>8.65</v>
      </c>
      <c r="I12">
        <v>1.2</v>
      </c>
      <c r="J12" t="s">
        <v>32</v>
      </c>
      <c r="K12" t="s">
        <v>33</v>
      </c>
      <c r="L12">
        <v>1</v>
      </c>
      <c r="M12">
        <f t="shared" si="0"/>
        <v>0.1261437908496732</v>
      </c>
    </row>
    <row r="13" spans="1:13" x14ac:dyDescent="0.3">
      <c r="A13" t="s">
        <v>11</v>
      </c>
      <c r="B13" t="s">
        <v>51</v>
      </c>
      <c r="C13" t="s">
        <v>52</v>
      </c>
      <c r="D13" t="s">
        <v>53</v>
      </c>
      <c r="E13" t="s">
        <v>23</v>
      </c>
      <c r="F13" t="s">
        <v>24</v>
      </c>
      <c r="G13" t="s">
        <v>17</v>
      </c>
      <c r="H13">
        <v>7.98</v>
      </c>
      <c r="I13">
        <v>1.51</v>
      </c>
      <c r="J13" t="s">
        <v>25</v>
      </c>
      <c r="K13" t="s">
        <v>26</v>
      </c>
      <c r="L13">
        <v>1</v>
      </c>
      <c r="M13">
        <f t="shared" si="0"/>
        <v>0.13825214899713464</v>
      </c>
    </row>
    <row r="14" spans="1:13" x14ac:dyDescent="0.3">
      <c r="A14" t="s">
        <v>11</v>
      </c>
      <c r="B14" t="s">
        <v>51</v>
      </c>
      <c r="C14" t="s">
        <v>54</v>
      </c>
      <c r="D14" t="s">
        <v>55</v>
      </c>
      <c r="E14" t="s">
        <v>30</v>
      </c>
      <c r="F14" t="s">
        <v>31</v>
      </c>
      <c r="G14" t="s">
        <v>17</v>
      </c>
      <c r="H14">
        <v>7.21</v>
      </c>
      <c r="I14">
        <v>1.23</v>
      </c>
      <c r="J14" t="s">
        <v>32</v>
      </c>
      <c r="K14" t="s">
        <v>33</v>
      </c>
      <c r="L14">
        <v>1</v>
      </c>
      <c r="M14">
        <f t="shared" si="0"/>
        <v>0.15539452495974235</v>
      </c>
    </row>
    <row r="15" spans="1:13" x14ac:dyDescent="0.3">
      <c r="A15" t="s">
        <v>11</v>
      </c>
      <c r="B15" t="s">
        <v>56</v>
      </c>
      <c r="C15" t="s">
        <v>57</v>
      </c>
      <c r="D15" t="s">
        <v>58</v>
      </c>
      <c r="E15" t="s">
        <v>15</v>
      </c>
      <c r="F15" t="s">
        <v>16</v>
      </c>
      <c r="G15" t="s">
        <v>17</v>
      </c>
      <c r="H15">
        <v>13.5</v>
      </c>
      <c r="I15">
        <v>1.86</v>
      </c>
      <c r="J15" t="s">
        <v>18</v>
      </c>
      <c r="K15" t="s">
        <v>19</v>
      </c>
      <c r="L15">
        <v>1</v>
      </c>
      <c r="M15">
        <f t="shared" si="0"/>
        <v>7.7199999999999991E-2</v>
      </c>
    </row>
    <row r="16" spans="1:13" x14ac:dyDescent="0.3">
      <c r="A16" t="s">
        <v>11</v>
      </c>
      <c r="B16" t="s">
        <v>56</v>
      </c>
      <c r="C16" t="s">
        <v>59</v>
      </c>
      <c r="D16" t="s">
        <v>60</v>
      </c>
      <c r="E16" t="s">
        <v>30</v>
      </c>
      <c r="F16" t="s">
        <v>31</v>
      </c>
      <c r="G16" t="s">
        <v>17</v>
      </c>
      <c r="H16">
        <v>6.39</v>
      </c>
      <c r="I16">
        <v>1.34</v>
      </c>
      <c r="J16" t="s">
        <v>32</v>
      </c>
      <c r="K16" t="s">
        <v>33</v>
      </c>
      <c r="L16">
        <v>0</v>
      </c>
      <c r="M16">
        <f t="shared" si="0"/>
        <v>-1</v>
      </c>
    </row>
    <row r="17" spans="1:13" x14ac:dyDescent="0.3">
      <c r="A17" t="s">
        <v>11</v>
      </c>
      <c r="B17" t="s">
        <v>56</v>
      </c>
      <c r="C17" t="s">
        <v>61</v>
      </c>
      <c r="D17" t="s">
        <v>62</v>
      </c>
      <c r="E17" t="s">
        <v>30</v>
      </c>
      <c r="F17" t="s">
        <v>31</v>
      </c>
      <c r="G17" t="s">
        <v>17</v>
      </c>
      <c r="H17">
        <v>5.46</v>
      </c>
      <c r="I17">
        <v>1.38</v>
      </c>
      <c r="J17" t="s">
        <v>32</v>
      </c>
      <c r="K17" t="s">
        <v>33</v>
      </c>
      <c r="L17">
        <v>1</v>
      </c>
      <c r="M17">
        <f t="shared" si="0"/>
        <v>0.21636771300448429</v>
      </c>
    </row>
    <row r="18" spans="1:13" x14ac:dyDescent="0.3">
      <c r="A18" t="s">
        <v>11</v>
      </c>
      <c r="B18" t="s">
        <v>56</v>
      </c>
      <c r="C18" t="s">
        <v>63</v>
      </c>
      <c r="D18" t="s">
        <v>64</v>
      </c>
      <c r="E18" t="s">
        <v>30</v>
      </c>
      <c r="F18" t="s">
        <v>31</v>
      </c>
      <c r="G18" t="s">
        <v>17</v>
      </c>
      <c r="H18">
        <v>7.83</v>
      </c>
      <c r="I18">
        <v>1.22</v>
      </c>
      <c r="J18" t="s">
        <v>32</v>
      </c>
      <c r="K18" t="s">
        <v>33</v>
      </c>
      <c r="L18">
        <v>1</v>
      </c>
      <c r="M18">
        <f t="shared" si="0"/>
        <v>0.14128843338213762</v>
      </c>
    </row>
    <row r="19" spans="1:13" x14ac:dyDescent="0.3">
      <c r="A19" t="s">
        <v>11</v>
      </c>
      <c r="B19" t="s">
        <v>65</v>
      </c>
      <c r="C19" t="s">
        <v>40</v>
      </c>
      <c r="D19" t="s">
        <v>66</v>
      </c>
      <c r="E19" t="s">
        <v>30</v>
      </c>
      <c r="F19" t="s">
        <v>31</v>
      </c>
      <c r="G19" t="s">
        <v>17</v>
      </c>
      <c r="H19">
        <v>6.08</v>
      </c>
      <c r="I19">
        <v>1.31</v>
      </c>
      <c r="J19" t="s">
        <v>32</v>
      </c>
      <c r="K19" t="s">
        <v>33</v>
      </c>
      <c r="L19">
        <v>1</v>
      </c>
      <c r="M19">
        <f t="shared" si="0"/>
        <v>0.18996062992125984</v>
      </c>
    </row>
    <row r="20" spans="1:13" x14ac:dyDescent="0.3">
      <c r="A20" t="s">
        <v>11</v>
      </c>
      <c r="B20" t="s">
        <v>67</v>
      </c>
      <c r="C20" t="s">
        <v>54</v>
      </c>
      <c r="D20" t="s">
        <v>68</v>
      </c>
      <c r="E20" t="s">
        <v>30</v>
      </c>
      <c r="F20" t="s">
        <v>31</v>
      </c>
      <c r="G20" t="s">
        <v>17</v>
      </c>
      <c r="H20">
        <v>7</v>
      </c>
      <c r="I20">
        <v>1.23</v>
      </c>
      <c r="J20" t="s">
        <v>32</v>
      </c>
      <c r="K20" t="s">
        <v>33</v>
      </c>
      <c r="L20">
        <v>1</v>
      </c>
      <c r="M20">
        <f t="shared" si="0"/>
        <v>0.16083333333333333</v>
      </c>
    </row>
    <row r="21" spans="1:13" x14ac:dyDescent="0.3">
      <c r="A21" t="s">
        <v>11</v>
      </c>
      <c r="B21" t="s">
        <v>67</v>
      </c>
      <c r="C21" t="s">
        <v>69</v>
      </c>
      <c r="D21" t="s">
        <v>70</v>
      </c>
      <c r="E21" t="s">
        <v>30</v>
      </c>
      <c r="F21" t="s">
        <v>31</v>
      </c>
      <c r="G21" t="s">
        <v>17</v>
      </c>
      <c r="H21">
        <v>6.59</v>
      </c>
      <c r="I21">
        <v>1.27</v>
      </c>
      <c r="J21" t="s">
        <v>32</v>
      </c>
      <c r="K21" t="s">
        <v>33</v>
      </c>
      <c r="L21">
        <v>1</v>
      </c>
      <c r="M21">
        <f t="shared" si="0"/>
        <v>0.17262969588550983</v>
      </c>
    </row>
    <row r="22" spans="1:13" x14ac:dyDescent="0.3">
      <c r="A22" t="s">
        <v>11</v>
      </c>
      <c r="B22" t="s">
        <v>71</v>
      </c>
      <c r="C22" t="s">
        <v>72</v>
      </c>
      <c r="D22" t="s">
        <v>73</v>
      </c>
      <c r="E22" t="s">
        <v>23</v>
      </c>
      <c r="F22" t="s">
        <v>24</v>
      </c>
      <c r="G22" t="s">
        <v>17</v>
      </c>
      <c r="H22">
        <v>13.12</v>
      </c>
      <c r="I22">
        <v>1.52</v>
      </c>
      <c r="J22" t="s">
        <v>25</v>
      </c>
      <c r="K22" t="s">
        <v>26</v>
      </c>
      <c r="L22">
        <v>1</v>
      </c>
      <c r="M22">
        <f t="shared" si="0"/>
        <v>7.9620462046204626E-2</v>
      </c>
    </row>
    <row r="23" spans="1:13" x14ac:dyDescent="0.3">
      <c r="A23" t="s">
        <v>11</v>
      </c>
      <c r="B23" t="s">
        <v>71</v>
      </c>
      <c r="C23" t="s">
        <v>74</v>
      </c>
      <c r="D23" t="s">
        <v>75</v>
      </c>
      <c r="E23" t="s">
        <v>30</v>
      </c>
      <c r="F23" t="s">
        <v>31</v>
      </c>
      <c r="G23" t="s">
        <v>17</v>
      </c>
      <c r="H23">
        <v>6.08</v>
      </c>
      <c r="I23">
        <v>1.3</v>
      </c>
      <c r="J23" t="s">
        <v>32</v>
      </c>
      <c r="K23" t="s">
        <v>33</v>
      </c>
      <c r="L23">
        <v>1</v>
      </c>
      <c r="M23">
        <f t="shared" si="0"/>
        <v>0.18996062992125984</v>
      </c>
    </row>
    <row r="24" spans="1:13" x14ac:dyDescent="0.3">
      <c r="A24" t="s">
        <v>11</v>
      </c>
      <c r="B24" t="s">
        <v>71</v>
      </c>
      <c r="C24" t="s">
        <v>44</v>
      </c>
      <c r="D24" t="s">
        <v>76</v>
      </c>
      <c r="E24" t="s">
        <v>23</v>
      </c>
      <c r="F24" t="s">
        <v>24</v>
      </c>
      <c r="G24" t="s">
        <v>17</v>
      </c>
      <c r="H24">
        <v>14.18</v>
      </c>
      <c r="I24">
        <v>1.45</v>
      </c>
      <c r="J24" t="s">
        <v>25</v>
      </c>
      <c r="K24" t="s">
        <v>26</v>
      </c>
      <c r="L24">
        <v>1</v>
      </c>
      <c r="M24">
        <f t="shared" si="0"/>
        <v>7.3216995447647953E-2</v>
      </c>
    </row>
    <row r="25" spans="1:13" x14ac:dyDescent="0.3">
      <c r="A25" t="s">
        <v>11</v>
      </c>
      <c r="B25" t="s">
        <v>71</v>
      </c>
      <c r="C25" t="s">
        <v>77</v>
      </c>
      <c r="D25" t="s">
        <v>78</v>
      </c>
      <c r="E25" t="s">
        <v>23</v>
      </c>
      <c r="F25" t="s">
        <v>24</v>
      </c>
      <c r="G25" t="s">
        <v>17</v>
      </c>
      <c r="H25">
        <v>12.6</v>
      </c>
      <c r="I25">
        <v>1.47</v>
      </c>
      <c r="J25" t="s">
        <v>25</v>
      </c>
      <c r="K25" t="s">
        <v>26</v>
      </c>
      <c r="L25">
        <v>1</v>
      </c>
      <c r="M25">
        <f t="shared" si="0"/>
        <v>8.3189655172413793E-2</v>
      </c>
    </row>
    <row r="26" spans="1:13" x14ac:dyDescent="0.3">
      <c r="A26" t="s">
        <v>11</v>
      </c>
      <c r="B26" t="s">
        <v>79</v>
      </c>
      <c r="C26" t="s">
        <v>80</v>
      </c>
      <c r="D26" t="s">
        <v>81</v>
      </c>
      <c r="E26" t="s">
        <v>30</v>
      </c>
      <c r="F26" t="s">
        <v>31</v>
      </c>
      <c r="G26" t="s">
        <v>17</v>
      </c>
      <c r="H26">
        <v>8.24</v>
      </c>
      <c r="I26">
        <v>1.23</v>
      </c>
      <c r="J26" t="s">
        <v>32</v>
      </c>
      <c r="K26" t="s">
        <v>33</v>
      </c>
      <c r="L26">
        <v>1</v>
      </c>
      <c r="M26">
        <f t="shared" si="0"/>
        <v>0.13328729281767954</v>
      </c>
    </row>
    <row r="27" spans="1:13" x14ac:dyDescent="0.3">
      <c r="A27" t="s">
        <v>11</v>
      </c>
      <c r="B27" t="s">
        <v>82</v>
      </c>
      <c r="C27" t="s">
        <v>74</v>
      </c>
      <c r="D27" t="s">
        <v>83</v>
      </c>
      <c r="E27" t="s">
        <v>15</v>
      </c>
      <c r="F27" t="s">
        <v>16</v>
      </c>
      <c r="G27" t="s">
        <v>17</v>
      </c>
      <c r="H27">
        <v>14</v>
      </c>
      <c r="I27">
        <v>1.9</v>
      </c>
      <c r="J27" t="s">
        <v>18</v>
      </c>
      <c r="K27" t="s">
        <v>19</v>
      </c>
      <c r="L27">
        <v>1</v>
      </c>
      <c r="M27">
        <f t="shared" si="0"/>
        <v>7.4230769230769225E-2</v>
      </c>
    </row>
    <row r="28" spans="1:13" x14ac:dyDescent="0.3">
      <c r="A28" t="s">
        <v>11</v>
      </c>
      <c r="B28" t="s">
        <v>84</v>
      </c>
      <c r="C28" t="s">
        <v>85</v>
      </c>
      <c r="D28" t="s">
        <v>86</v>
      </c>
      <c r="E28" t="s">
        <v>30</v>
      </c>
      <c r="F28" t="s">
        <v>31</v>
      </c>
      <c r="G28" t="s">
        <v>17</v>
      </c>
      <c r="H28">
        <v>6.59</v>
      </c>
      <c r="I28">
        <v>1.38</v>
      </c>
      <c r="J28" t="s">
        <v>32</v>
      </c>
      <c r="K28" t="s">
        <v>33</v>
      </c>
      <c r="L28">
        <v>1</v>
      </c>
      <c r="M28">
        <f t="shared" si="0"/>
        <v>0.17262969588550983</v>
      </c>
    </row>
    <row r="29" spans="1:13" x14ac:dyDescent="0.3">
      <c r="A29" t="s">
        <v>11</v>
      </c>
      <c r="B29" t="s">
        <v>87</v>
      </c>
      <c r="C29" t="s">
        <v>88</v>
      </c>
      <c r="D29" t="s">
        <v>89</v>
      </c>
      <c r="E29" t="s">
        <v>30</v>
      </c>
      <c r="F29" t="s">
        <v>31</v>
      </c>
      <c r="G29" t="s">
        <v>17</v>
      </c>
      <c r="H29">
        <v>6.39</v>
      </c>
      <c r="I29">
        <v>1.27</v>
      </c>
      <c r="J29" t="s">
        <v>32</v>
      </c>
      <c r="K29" t="s">
        <v>33</v>
      </c>
      <c r="L29">
        <v>1</v>
      </c>
      <c r="M29">
        <f t="shared" si="0"/>
        <v>0.1790352504638219</v>
      </c>
    </row>
    <row r="30" spans="1:13" x14ac:dyDescent="0.3">
      <c r="A30" t="s">
        <v>11</v>
      </c>
      <c r="B30" t="s">
        <v>90</v>
      </c>
      <c r="C30" t="s">
        <v>85</v>
      </c>
      <c r="D30" t="s">
        <v>91</v>
      </c>
      <c r="E30" t="s">
        <v>30</v>
      </c>
      <c r="F30" t="s">
        <v>31</v>
      </c>
      <c r="G30" t="s">
        <v>17</v>
      </c>
      <c r="H30">
        <v>5.77</v>
      </c>
      <c r="I30">
        <v>1.4</v>
      </c>
      <c r="J30" t="s">
        <v>32</v>
      </c>
      <c r="K30" t="s">
        <v>33</v>
      </c>
      <c r="L30">
        <v>1</v>
      </c>
      <c r="M30">
        <f t="shared" si="0"/>
        <v>0.20230607966457023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2026-08-28T21:16:38Z</dcterms:created>
  <dcterms:modified xsi:type="dcterms:W3CDTF">2026-09-01T02:07:01Z</dcterms:modified>
</cp:coreProperties>
</file>