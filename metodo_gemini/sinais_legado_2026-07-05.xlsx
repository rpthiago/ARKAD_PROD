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DASHBOARD_ARKAD-1/metodo_gemini/"/>
    </mc:Choice>
  </mc:AlternateContent>
  <xr:revisionPtr revIDLastSave="12" documentId="11_2B593D9757E96405ED82DBF050AD80B14F0FE795" xr6:coauthVersionLast="47" xr6:coauthVersionMax="47" xr10:uidLastSave="{B6A022F8-6B9A-4C20-A758-803B768D13DE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2" i="1"/>
</calcChain>
</file>

<file path=xl/sharedStrings.xml><?xml version="1.0" encoding="utf-8"?>
<sst xmlns="http://schemas.openxmlformats.org/spreadsheetml/2006/main" count="67" uniqueCount="46">
  <si>
    <t>Data</t>
  </si>
  <si>
    <t>Hora</t>
  </si>
  <si>
    <t>Liga</t>
  </si>
  <si>
    <t>Home</t>
  </si>
  <si>
    <t>Away</t>
  </si>
  <si>
    <t>Metodo</t>
  </si>
  <si>
    <t>Tipo</t>
  </si>
  <si>
    <t>Odd</t>
  </si>
  <si>
    <t>Prob</t>
  </si>
  <si>
    <t>Resultado</t>
  </si>
  <si>
    <t>Lucro</t>
  </si>
  <si>
    <t>2026-07-05</t>
  </si>
  <si>
    <t>08:00</t>
  </si>
  <si>
    <t>CHINA 1</t>
  </si>
  <si>
    <t>Qingdao Hainiu</t>
  </si>
  <si>
    <t>Chengdu Rongcheng</t>
  </si>
  <si>
    <t>Lay Home Betfair</t>
  </si>
  <si>
    <t>Lay</t>
  </si>
  <si>
    <t>84.2%</t>
  </si>
  <si>
    <t>08:30</t>
  </si>
  <si>
    <t>Meizhou Hakka</t>
  </si>
  <si>
    <t>Changchun Yatai</t>
  </si>
  <si>
    <t>59.5%</t>
  </si>
  <si>
    <t>09:00</t>
  </si>
  <si>
    <t>SWEDEN 1</t>
  </si>
  <si>
    <t>IFK Goteborg</t>
  </si>
  <si>
    <t>AIK</t>
  </si>
  <si>
    <t>Back Away Betfair</t>
  </si>
  <si>
    <t>Back</t>
  </si>
  <si>
    <t>50.5%</t>
  </si>
  <si>
    <t>11:00</t>
  </si>
  <si>
    <t>NORWAY 2</t>
  </si>
  <si>
    <t>Odds BK</t>
  </si>
  <si>
    <t>Haugesund</t>
  </si>
  <si>
    <t>57.2%</t>
  </si>
  <si>
    <t>11:30</t>
  </si>
  <si>
    <t>Elfsborg</t>
  </si>
  <si>
    <t>Hammarby</t>
  </si>
  <si>
    <t>74.9%</t>
  </si>
  <si>
    <t>20:30</t>
  </si>
  <si>
    <t>BRAZIL 2</t>
  </si>
  <si>
    <t>Nautico PE</t>
  </si>
  <si>
    <t>Juventude</t>
  </si>
  <si>
    <t>47.1%</t>
  </si>
  <si>
    <t>Under 1.5 FT Betfair</t>
  </si>
  <si>
    <t>59.9%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</si>
</sst>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16" sqref="I1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7</v>
      </c>
      <c r="I2" t="s">
        <v>18</v>
      </c>
      <c r="J2">
        <v>1</v>
      </c>
      <c r="K2">
        <f>IF(J2="", "", IF(G2="Back", IF(J2=1, H2-1, -1), IF(J2=1, 1, -(H2-1))))</f>
        <v>1</v>
      </c>
    </row>
    <row r="3" spans="1:11" x14ac:dyDescent="0.3">
      <c r="A3" t="s">
        <v>11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t="s">
        <v>17</v>
      </c>
      <c r="H3">
        <v>2.68</v>
      </c>
      <c r="I3" t="s">
        <v>22</v>
      </c>
      <c r="J3">
        <v>1</v>
      </c>
      <c r="K3">
        <f t="shared" ref="K3:K8" si="0">IF(J3="", "", IF(G3="Back", IF(J3=1, H3-1, -1), IF(J3=1, 1, -(H3-1))))</f>
        <v>1</v>
      </c>
    </row>
    <row r="4" spans="1:11" x14ac:dyDescent="0.3">
      <c r="A4" t="s">
        <v>11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3.4</v>
      </c>
      <c r="I4" t="s">
        <v>29</v>
      </c>
      <c r="J4">
        <v>1</v>
      </c>
      <c r="K4">
        <f t="shared" si="0"/>
        <v>2.4</v>
      </c>
    </row>
    <row r="5" spans="1:11" x14ac:dyDescent="0.3">
      <c r="A5" t="s">
        <v>11</v>
      </c>
      <c r="B5" t="s">
        <v>30</v>
      </c>
      <c r="C5" t="s">
        <v>31</v>
      </c>
      <c r="D5" t="s">
        <v>32</v>
      </c>
      <c r="E5" t="s">
        <v>33</v>
      </c>
      <c r="F5" t="s">
        <v>16</v>
      </c>
      <c r="G5" t="s">
        <v>17</v>
      </c>
      <c r="H5">
        <v>2.56</v>
      </c>
      <c r="I5" t="s">
        <v>34</v>
      </c>
      <c r="J5">
        <v>1</v>
      </c>
      <c r="K5">
        <f t="shared" si="0"/>
        <v>1</v>
      </c>
    </row>
    <row r="6" spans="1:11" x14ac:dyDescent="0.3">
      <c r="A6" t="s">
        <v>11</v>
      </c>
      <c r="B6" t="s">
        <v>35</v>
      </c>
      <c r="C6" t="s">
        <v>24</v>
      </c>
      <c r="D6" t="s">
        <v>36</v>
      </c>
      <c r="E6" t="s">
        <v>37</v>
      </c>
      <c r="F6" t="s">
        <v>16</v>
      </c>
      <c r="G6" t="s">
        <v>17</v>
      </c>
      <c r="H6">
        <v>4.5999999999999996</v>
      </c>
      <c r="I6" t="s">
        <v>38</v>
      </c>
      <c r="J6">
        <v>1</v>
      </c>
      <c r="K6">
        <f t="shared" si="0"/>
        <v>1</v>
      </c>
    </row>
    <row r="7" spans="1:11" x14ac:dyDescent="0.3">
      <c r="A7" t="s">
        <v>11</v>
      </c>
      <c r="B7" t="s">
        <v>39</v>
      </c>
      <c r="C7" t="s">
        <v>40</v>
      </c>
      <c r="D7" t="s">
        <v>41</v>
      </c>
      <c r="E7" t="s">
        <v>42</v>
      </c>
      <c r="F7" t="s">
        <v>27</v>
      </c>
      <c r="G7" t="s">
        <v>28</v>
      </c>
      <c r="H7">
        <v>3.45</v>
      </c>
      <c r="I7" t="s">
        <v>43</v>
      </c>
      <c r="J7">
        <v>0</v>
      </c>
      <c r="K7">
        <f t="shared" si="0"/>
        <v>-1</v>
      </c>
    </row>
    <row r="8" spans="1:11" x14ac:dyDescent="0.3">
      <c r="A8" t="s">
        <v>11</v>
      </c>
      <c r="B8" t="s">
        <v>39</v>
      </c>
      <c r="C8" t="s">
        <v>40</v>
      </c>
      <c r="D8" t="s">
        <v>41</v>
      </c>
      <c r="E8" t="s">
        <v>42</v>
      </c>
      <c r="F8" t="s">
        <v>44</v>
      </c>
      <c r="G8" t="s">
        <v>28</v>
      </c>
      <c r="H8">
        <v>2.82</v>
      </c>
      <c r="I8" t="s">
        <v>45</v>
      </c>
      <c r="J8">
        <v>1</v>
      </c>
      <c r="K8">
        <f t="shared" si="0"/>
        <v>1.8199999999999998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2026-07-10T22:35:40Z</dcterms:created>
  <dcterms:modified xsi:type="dcterms:W3CDTF">2026-07-10T22:37:23Z</dcterms:modified>
</cp:coreProperties>
</file>