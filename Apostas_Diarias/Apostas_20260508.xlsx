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1" documentId="11_2B590F4F95164D6E6140D1F0500D68B06725EEA5" xr6:coauthVersionLast="47" xr6:coauthVersionMax="47" xr10:uidLastSave="{923A9974-F02C-4C2D-AD3B-5FE76A407848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T4" i="1"/>
  <c r="U4" i="1"/>
  <c r="T5" i="1"/>
  <c r="U5" i="1"/>
  <c r="T6" i="1"/>
  <c r="U6" i="1"/>
  <c r="T7" i="1"/>
  <c r="U7" i="1"/>
  <c r="T8" i="1"/>
  <c r="U8" i="1"/>
  <c r="U2" i="1"/>
  <c r="T2" i="1"/>
  <c r="O8" i="1"/>
  <c r="N8" i="1"/>
  <c r="P8" i="1" s="1"/>
  <c r="P7" i="1"/>
  <c r="N7" i="1"/>
  <c r="O7" i="1" s="1"/>
  <c r="P6" i="1"/>
  <c r="N6" i="1"/>
  <c r="O6" i="1" s="1"/>
  <c r="N5" i="1"/>
  <c r="P5" i="1" s="1"/>
  <c r="N4" i="1"/>
  <c r="P4" i="1" s="1"/>
  <c r="N3" i="1"/>
  <c r="O3" i="1" s="1"/>
  <c r="P2" i="1"/>
  <c r="O2" i="1"/>
  <c r="N2" i="1"/>
  <c r="P3" i="1" l="1"/>
  <c r="O4" i="1"/>
  <c r="O5" i="1"/>
</calcChain>
</file>

<file path=xl/sharedStrings.xml><?xml version="1.0" encoding="utf-8"?>
<sst xmlns="http://schemas.openxmlformats.org/spreadsheetml/2006/main" count="84" uniqueCount="44">
  <si>
    <t>Data</t>
  </si>
  <si>
    <t>Hora</t>
  </si>
  <si>
    <t>Prio</t>
  </si>
  <si>
    <t>Liga</t>
  </si>
  <si>
    <t>Jogo</t>
  </si>
  <si>
    <t>Metodo</t>
  </si>
  <si>
    <t>Odd_Base</t>
  </si>
  <si>
    <t>Profile_Mode</t>
  </si>
  <si>
    <t>Stake_Base_R$</t>
  </si>
  <si>
    <t>Mult_Metodo</t>
  </si>
  <si>
    <t>Mult_Odd_Band</t>
  </si>
  <si>
    <t>Greens_Consecutivos_Dia</t>
  </si>
  <si>
    <t>Teve_Red_no_Dia</t>
  </si>
  <si>
    <t>Mult_Intradia</t>
  </si>
  <si>
    <t>Percentual_Stake_sobre_Base_%</t>
  </si>
  <si>
    <t>Stake_Final_Aplicada_R$</t>
  </si>
  <si>
    <t>Acao</t>
  </si>
  <si>
    <t>Odd_Real_Pega</t>
  </si>
  <si>
    <t>Stake</t>
  </si>
  <si>
    <t>Resultado</t>
  </si>
  <si>
    <t>Lucro_Prejuizo</t>
  </si>
  <si>
    <t>2026-05-08</t>
  </si>
  <si>
    <t>12:00:00</t>
  </si>
  <si>
    <t>P1 ⭐</t>
  </si>
  <si>
    <t>FINLAND 1</t>
  </si>
  <si>
    <t>Ilves x AC Oulu</t>
  </si>
  <si>
    <t>Lay_CS_0x1_B365</t>
  </si>
  <si>
    <t>moderado</t>
  </si>
  <si>
    <t>NAO</t>
  </si>
  <si>
    <t>APOSTAR</t>
  </si>
  <si>
    <t>TPS x HJK Helsinki</t>
  </si>
  <si>
    <t>13:00:00</t>
  </si>
  <si>
    <t>AUSTRIA 2</t>
  </si>
  <si>
    <t>FC Liefering x Admira Wacker</t>
  </si>
  <si>
    <t>Rapid Vienna (Am) x First Vienna Fc 1894</t>
  </si>
  <si>
    <t>14:00:00</t>
  </si>
  <si>
    <t>NORWAY 1</t>
  </si>
  <si>
    <t>Ham-Kam x Valerenga</t>
  </si>
  <si>
    <t>15:00:00</t>
  </si>
  <si>
    <t>ROMANIA 1</t>
  </si>
  <si>
    <t>CFR Cluj x Universitatea Craiova</t>
  </si>
  <si>
    <t>15:45:00</t>
  </si>
  <si>
    <t>IRELAND 1</t>
  </si>
  <si>
    <t>Dundalk x Bohemians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</si>
</sst>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M1" workbookViewId="0">
      <selection activeCell="S11" sqref="S11"/>
    </sheetView>
  </sheetViews>
  <sheetFormatPr defaultRowHeight="14.4" x14ac:dyDescent="0.3"/>
  <cols>
    <col min="1" max="1" width="14" customWidth="1"/>
    <col min="2" max="2" width="12" customWidth="1"/>
    <col min="3" max="3" width="8" customWidth="1"/>
    <col min="4" max="4" width="13" customWidth="1"/>
    <col min="5" max="5" width="40" customWidth="1"/>
    <col min="6" max="6" width="19" customWidth="1"/>
    <col min="7" max="7" width="12" customWidth="1"/>
    <col min="8" max="8" width="16" customWidth="1"/>
    <col min="9" max="9" width="17" customWidth="1"/>
    <col min="10" max="10" width="15" customWidth="1"/>
    <col min="11" max="11" width="17" customWidth="1"/>
    <col min="12" max="12" width="27" customWidth="1"/>
    <col min="13" max="13" width="19" customWidth="1"/>
    <col min="14" max="14" width="17" customWidth="1"/>
    <col min="15" max="15" width="33" customWidth="1"/>
    <col min="16" max="16" width="27" customWidth="1"/>
    <col min="17" max="17" width="11" customWidth="1"/>
    <col min="18" max="18" width="17" customWidth="1"/>
    <col min="19" max="19" width="9" customWidth="1"/>
    <col min="20" max="20" width="13" customWidth="1"/>
    <col min="21" max="21" width="18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v>500</v>
      </c>
    </row>
    <row r="2" spans="1:22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12</v>
      </c>
      <c r="H2" t="s">
        <v>27</v>
      </c>
      <c r="I2">
        <v>500</v>
      </c>
      <c r="J2">
        <v>1.1000000000000001</v>
      </c>
      <c r="K2">
        <v>1</v>
      </c>
      <c r="L2">
        <v>0</v>
      </c>
      <c r="M2" t="s">
        <v>28</v>
      </c>
      <c r="N2">
        <f t="shared" ref="N2:N8" si="0">1+(0*L2)</f>
        <v>1</v>
      </c>
      <c r="O2">
        <f t="shared" ref="O2:O8" si="1">J2*K2*N2*100</f>
        <v>110.00000000000001</v>
      </c>
      <c r="P2">
        <f t="shared" ref="P2:P8" si="2">I2*J2*K2*N2</f>
        <v>550</v>
      </c>
      <c r="Q2" t="s">
        <v>29</v>
      </c>
      <c r="R2">
        <v>12</v>
      </c>
      <c r="S2">
        <v>500</v>
      </c>
      <c r="T2" t="str">
        <f>IF(V2=1,"GREEN","RED")</f>
        <v>GREEN</v>
      </c>
      <c r="U2">
        <f>IF(V2=1,0.935/(R2-1)*S2,-500)</f>
        <v>42.5</v>
      </c>
      <c r="V2">
        <v>1</v>
      </c>
    </row>
    <row r="3" spans="1:22" x14ac:dyDescent="0.3">
      <c r="A3" t="s">
        <v>21</v>
      </c>
      <c r="B3" t="s">
        <v>22</v>
      </c>
      <c r="C3" t="s">
        <v>23</v>
      </c>
      <c r="D3" t="s">
        <v>24</v>
      </c>
      <c r="E3" t="s">
        <v>30</v>
      </c>
      <c r="F3" t="s">
        <v>26</v>
      </c>
      <c r="G3">
        <v>11.5</v>
      </c>
      <c r="H3" t="s">
        <v>27</v>
      </c>
      <c r="I3">
        <v>500</v>
      </c>
      <c r="J3">
        <v>1.1000000000000001</v>
      </c>
      <c r="K3">
        <v>1</v>
      </c>
      <c r="L3">
        <v>0</v>
      </c>
      <c r="M3" t="s">
        <v>28</v>
      </c>
      <c r="N3">
        <f t="shared" si="0"/>
        <v>1</v>
      </c>
      <c r="O3">
        <f t="shared" si="1"/>
        <v>110.00000000000001</v>
      </c>
      <c r="P3">
        <f t="shared" si="2"/>
        <v>550</v>
      </c>
      <c r="Q3" t="s">
        <v>29</v>
      </c>
      <c r="R3">
        <v>11.5</v>
      </c>
      <c r="S3">
        <v>500</v>
      </c>
      <c r="T3" t="str">
        <f t="shared" ref="T3:T8" si="3">IF(V3=1,"GREEN","RED")</f>
        <v>GREEN</v>
      </c>
      <c r="U3">
        <f t="shared" ref="U3:U8" si="4">IF(V3=1,0.935/(R3-1)*S3,-500)</f>
        <v>44.523809523809526</v>
      </c>
      <c r="V3">
        <v>1</v>
      </c>
    </row>
    <row r="4" spans="1:22" x14ac:dyDescent="0.3">
      <c r="A4" t="s">
        <v>21</v>
      </c>
      <c r="B4" t="s">
        <v>31</v>
      </c>
      <c r="C4" t="s">
        <v>23</v>
      </c>
      <c r="D4" t="s">
        <v>32</v>
      </c>
      <c r="E4" t="s">
        <v>33</v>
      </c>
      <c r="F4" t="s">
        <v>26</v>
      </c>
      <c r="G4">
        <v>12.5</v>
      </c>
      <c r="H4" t="s">
        <v>27</v>
      </c>
      <c r="I4">
        <v>500</v>
      </c>
      <c r="J4">
        <v>1.1000000000000001</v>
      </c>
      <c r="K4">
        <v>1</v>
      </c>
      <c r="L4">
        <v>0</v>
      </c>
      <c r="M4" t="s">
        <v>28</v>
      </c>
      <c r="N4">
        <f t="shared" si="0"/>
        <v>1</v>
      </c>
      <c r="O4">
        <f t="shared" si="1"/>
        <v>110.00000000000001</v>
      </c>
      <c r="P4">
        <f t="shared" si="2"/>
        <v>550</v>
      </c>
      <c r="Q4" t="s">
        <v>29</v>
      </c>
      <c r="R4">
        <v>12.5</v>
      </c>
      <c r="S4">
        <v>500</v>
      </c>
      <c r="T4" t="str">
        <f t="shared" si="3"/>
        <v>GREEN</v>
      </c>
      <c r="U4">
        <f t="shared" si="4"/>
        <v>40.652173913043484</v>
      </c>
      <c r="V4">
        <v>1</v>
      </c>
    </row>
    <row r="5" spans="1:22" x14ac:dyDescent="0.3">
      <c r="A5" t="s">
        <v>21</v>
      </c>
      <c r="B5" t="s">
        <v>31</v>
      </c>
      <c r="C5" t="s">
        <v>23</v>
      </c>
      <c r="D5" t="s">
        <v>32</v>
      </c>
      <c r="E5" t="s">
        <v>34</v>
      </c>
      <c r="F5" t="s">
        <v>26</v>
      </c>
      <c r="G5">
        <v>19</v>
      </c>
      <c r="H5" t="s">
        <v>27</v>
      </c>
      <c r="I5">
        <v>500</v>
      </c>
      <c r="J5">
        <v>1.1000000000000001</v>
      </c>
      <c r="K5">
        <v>1</v>
      </c>
      <c r="L5">
        <v>0</v>
      </c>
      <c r="M5" t="s">
        <v>28</v>
      </c>
      <c r="N5">
        <f t="shared" si="0"/>
        <v>1</v>
      </c>
      <c r="O5">
        <f t="shared" si="1"/>
        <v>110.00000000000001</v>
      </c>
      <c r="P5">
        <f t="shared" si="2"/>
        <v>550</v>
      </c>
      <c r="Q5" t="s">
        <v>29</v>
      </c>
      <c r="R5">
        <v>19</v>
      </c>
      <c r="S5">
        <v>500</v>
      </c>
      <c r="T5" t="str">
        <f t="shared" si="3"/>
        <v>GREEN</v>
      </c>
      <c r="U5">
        <f t="shared" si="4"/>
        <v>25.972222222222221</v>
      </c>
      <c r="V5">
        <v>1</v>
      </c>
    </row>
    <row r="6" spans="1:22" x14ac:dyDescent="0.3">
      <c r="A6" t="s">
        <v>21</v>
      </c>
      <c r="B6" t="s">
        <v>35</v>
      </c>
      <c r="C6" t="s">
        <v>23</v>
      </c>
      <c r="D6" t="s">
        <v>36</v>
      </c>
      <c r="E6" t="s">
        <v>37</v>
      </c>
      <c r="F6" t="s">
        <v>26</v>
      </c>
      <c r="G6">
        <v>12.5</v>
      </c>
      <c r="H6" t="s">
        <v>27</v>
      </c>
      <c r="I6">
        <v>500</v>
      </c>
      <c r="J6">
        <v>1.1000000000000001</v>
      </c>
      <c r="K6">
        <v>1</v>
      </c>
      <c r="L6">
        <v>0</v>
      </c>
      <c r="M6" t="s">
        <v>28</v>
      </c>
      <c r="N6">
        <f t="shared" si="0"/>
        <v>1</v>
      </c>
      <c r="O6">
        <f t="shared" si="1"/>
        <v>110.00000000000001</v>
      </c>
      <c r="P6">
        <f t="shared" si="2"/>
        <v>550</v>
      </c>
      <c r="Q6" t="s">
        <v>29</v>
      </c>
      <c r="R6">
        <v>12.5</v>
      </c>
      <c r="S6">
        <v>500</v>
      </c>
      <c r="T6" t="str">
        <f t="shared" si="3"/>
        <v>GREEN</v>
      </c>
      <c r="U6">
        <f t="shared" si="4"/>
        <v>40.652173913043484</v>
      </c>
      <c r="V6">
        <v>1</v>
      </c>
    </row>
    <row r="7" spans="1:22" x14ac:dyDescent="0.3">
      <c r="A7" t="s">
        <v>21</v>
      </c>
      <c r="B7" t="s">
        <v>38</v>
      </c>
      <c r="C7" t="s">
        <v>23</v>
      </c>
      <c r="D7" t="s">
        <v>39</v>
      </c>
      <c r="E7" t="s">
        <v>40</v>
      </c>
      <c r="F7" t="s">
        <v>26</v>
      </c>
      <c r="G7">
        <v>9.6</v>
      </c>
      <c r="H7" t="s">
        <v>27</v>
      </c>
      <c r="I7">
        <v>500</v>
      </c>
      <c r="J7">
        <v>1.1000000000000001</v>
      </c>
      <c r="K7">
        <v>1.05</v>
      </c>
      <c r="L7">
        <v>0</v>
      </c>
      <c r="M7" t="s">
        <v>28</v>
      </c>
      <c r="N7">
        <f t="shared" si="0"/>
        <v>1</v>
      </c>
      <c r="O7">
        <f t="shared" si="1"/>
        <v>115.50000000000003</v>
      </c>
      <c r="P7">
        <f t="shared" si="2"/>
        <v>577.5</v>
      </c>
      <c r="Q7" t="s">
        <v>29</v>
      </c>
      <c r="R7">
        <v>9.6</v>
      </c>
      <c r="S7">
        <v>500</v>
      </c>
      <c r="T7" t="str">
        <f t="shared" si="3"/>
        <v>GREEN</v>
      </c>
      <c r="U7">
        <f t="shared" si="4"/>
        <v>54.360465116279073</v>
      </c>
      <c r="V7">
        <v>1</v>
      </c>
    </row>
    <row r="8" spans="1:22" x14ac:dyDescent="0.3">
      <c r="A8" t="s">
        <v>21</v>
      </c>
      <c r="B8" t="s">
        <v>41</v>
      </c>
      <c r="C8" t="s">
        <v>23</v>
      </c>
      <c r="D8" t="s">
        <v>42</v>
      </c>
      <c r="E8" t="s">
        <v>43</v>
      </c>
      <c r="F8" t="s">
        <v>26</v>
      </c>
      <c r="G8">
        <v>11.5</v>
      </c>
      <c r="H8" t="s">
        <v>27</v>
      </c>
      <c r="I8">
        <v>500</v>
      </c>
      <c r="J8">
        <v>1.1000000000000001</v>
      </c>
      <c r="K8">
        <v>1</v>
      </c>
      <c r="L8">
        <v>0</v>
      </c>
      <c r="M8" t="s">
        <v>28</v>
      </c>
      <c r="N8">
        <f t="shared" si="0"/>
        <v>1</v>
      </c>
      <c r="O8">
        <f t="shared" si="1"/>
        <v>110.00000000000001</v>
      </c>
      <c r="P8">
        <f t="shared" si="2"/>
        <v>550</v>
      </c>
      <c r="Q8" t="s">
        <v>29</v>
      </c>
      <c r="R8">
        <v>11.5</v>
      </c>
      <c r="S8">
        <v>500</v>
      </c>
      <c r="T8" t="str">
        <f t="shared" si="3"/>
        <v>GREEN</v>
      </c>
      <c r="U8">
        <f t="shared" si="4"/>
        <v>44.523809523809526</v>
      </c>
      <c r="V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2026-05-08T21:37:35Z</dcterms:created>
  <dcterms:modified xsi:type="dcterms:W3CDTF">2026-05-08T21:41:11Z</dcterms:modified>
</cp:coreProperties>
</file>