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17" documentId="11_2B590F4F95C6450E9D00D5F050BAF8774001E589" xr6:coauthVersionLast="47" xr6:coauthVersionMax="47" xr10:uidLastSave="{296D3786-BF8F-48DC-8EC0-DF9E1993E17D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K2" i="1"/>
  <c r="J2" i="1"/>
</calcChain>
</file>

<file path=xl/sharedStrings.xml><?xml version="1.0" encoding="utf-8"?>
<sst xmlns="http://schemas.openxmlformats.org/spreadsheetml/2006/main" count="77" uniqueCount="33">
  <si>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</si>
  <si>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</si>
  <si>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</si>
  <si>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</si>
  <si>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</si>
  <si>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</si>
  <si>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</si>
  <si>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</si>
  <si>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</si>
  <si>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</si>
  <si>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</si>
  <si>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2026-04-02</t>
  </si>
  <si>
    <t>P1 ⭐</t>
  </si>
  <si>
    <t>10:15:00</t>
  </si>
  <si>
    <t>SAUDI ARABIA 1</t>
  </si>
  <si>
    <t>Al-Jndal x Jeddah Club</t>
  </si>
  <si>
    <t>Lay_CS_0x1_B365</t>
  </si>
  <si>
    <t>14:35:00</t>
  </si>
  <si>
    <t>Al-Zulfi SC x Al-Anwar Club</t>
  </si>
  <si>
    <t>17:30:00</t>
  </si>
  <si>
    <t>ARGENTINA 1</t>
  </si>
  <si>
    <t>Tigre x Independiente Rivadavia</t>
  </si>
  <si>
    <t>20:30:00</t>
  </si>
  <si>
    <t>Talleres x Boca Juniors</t>
  </si>
  <si>
    <t>P2</t>
  </si>
  <si>
    <t>19:00:00</t>
  </si>
  <si>
    <t>BRAZIL 1</t>
  </si>
  <si>
    <t>Chapecoense x Atletico MG</t>
  </si>
  <si>
    <t>21:30:00</t>
  </si>
  <si>
    <t>Red Bull Bragantino x Flamengo</t>
  </si>
  <si>
    <t>P3</t>
  </si>
  <si>
    <t>Lay_CS_1x0_B365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</si>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</sst>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I17" sqref="I17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8" customWidth="1"/>
    <col min="5" max="5" width="35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16</v>
      </c>
      <c r="H2">
        <v>16</v>
      </c>
      <c r="I2">
        <v>500</v>
      </c>
      <c r="J2" t="str">
        <f>IF(L2=1,"GREEN","RED")</f>
        <v>GREEN</v>
      </c>
      <c r="K2">
        <f>IF(L2=1,0.935/(H2-1)*I2,-500)</f>
        <v>31.166666666666668</v>
      </c>
      <c r="L2">
        <v>1</v>
      </c>
    </row>
    <row r="3" spans="1:12" x14ac:dyDescent="0.3">
      <c r="A3" t="s">
        <v>11</v>
      </c>
      <c r="B3" t="s">
        <v>32</v>
      </c>
      <c r="C3" t="s">
        <v>13</v>
      </c>
      <c r="D3" t="s">
        <v>14</v>
      </c>
      <c r="E3" t="s">
        <v>15</v>
      </c>
      <c r="F3" t="s">
        <v>31</v>
      </c>
      <c r="G3">
        <v>9</v>
      </c>
      <c r="H3">
        <v>9</v>
      </c>
      <c r="I3">
        <v>500</v>
      </c>
      <c r="J3" t="str">
        <f t="shared" ref="J3:J12" si="0">IF(L3=1,"GREEN","RED")</f>
        <v>GREEN</v>
      </c>
      <c r="K3">
        <f t="shared" ref="K3:K12" si="1">IF(L3=1,0.935/(H3-1)*I3,-500)</f>
        <v>58.4375</v>
      </c>
      <c r="L3">
        <v>1</v>
      </c>
    </row>
    <row r="4" spans="1:12" x14ac:dyDescent="0.3">
      <c r="A4" t="s">
        <v>11</v>
      </c>
      <c r="B4" t="s">
        <v>12</v>
      </c>
      <c r="C4" t="s">
        <v>17</v>
      </c>
      <c r="D4" t="s">
        <v>14</v>
      </c>
      <c r="E4" t="s">
        <v>18</v>
      </c>
      <c r="F4" t="s">
        <v>16</v>
      </c>
      <c r="G4">
        <v>13.5</v>
      </c>
      <c r="H4">
        <v>13.5</v>
      </c>
      <c r="I4">
        <v>500</v>
      </c>
      <c r="J4" t="str">
        <f t="shared" si="0"/>
        <v>GREEN</v>
      </c>
      <c r="K4">
        <f t="shared" si="1"/>
        <v>37.400000000000006</v>
      </c>
      <c r="L4">
        <v>1</v>
      </c>
    </row>
    <row r="5" spans="1:12" x14ac:dyDescent="0.3">
      <c r="A5" t="s">
        <v>11</v>
      </c>
      <c r="B5" t="s">
        <v>32</v>
      </c>
      <c r="C5" t="s">
        <v>17</v>
      </c>
      <c r="D5" t="s">
        <v>14</v>
      </c>
      <c r="E5" t="s">
        <v>18</v>
      </c>
      <c r="F5" t="s">
        <v>31</v>
      </c>
      <c r="G5">
        <v>9.4</v>
      </c>
      <c r="H5">
        <v>9.4</v>
      </c>
      <c r="I5">
        <v>500</v>
      </c>
      <c r="J5" t="str">
        <f t="shared" si="0"/>
        <v>GREEN</v>
      </c>
      <c r="K5">
        <f t="shared" si="1"/>
        <v>55.654761904761905</v>
      </c>
      <c r="L5">
        <v>1</v>
      </c>
    </row>
    <row r="6" spans="1:12" x14ac:dyDescent="0.3">
      <c r="A6" t="s">
        <v>11</v>
      </c>
      <c r="B6" t="s">
        <v>24</v>
      </c>
      <c r="C6" t="s">
        <v>25</v>
      </c>
      <c r="D6" t="s">
        <v>26</v>
      </c>
      <c r="E6" t="s">
        <v>27</v>
      </c>
      <c r="F6" t="s">
        <v>16</v>
      </c>
      <c r="G6">
        <v>8.6</v>
      </c>
      <c r="H6">
        <v>8.6</v>
      </c>
      <c r="I6">
        <v>500</v>
      </c>
      <c r="J6" t="str">
        <f t="shared" si="0"/>
        <v>GREEN</v>
      </c>
      <c r="K6">
        <f t="shared" si="1"/>
        <v>61.513157894736842</v>
      </c>
      <c r="L6">
        <v>1</v>
      </c>
    </row>
    <row r="7" spans="1:12" x14ac:dyDescent="0.3">
      <c r="A7" t="s">
        <v>11</v>
      </c>
      <c r="B7" t="s">
        <v>32</v>
      </c>
      <c r="C7" t="s">
        <v>25</v>
      </c>
      <c r="D7" t="s">
        <v>26</v>
      </c>
      <c r="E7" t="s">
        <v>27</v>
      </c>
      <c r="F7" t="s">
        <v>31</v>
      </c>
      <c r="G7">
        <v>11.5</v>
      </c>
      <c r="H7">
        <v>11.5</v>
      </c>
      <c r="I7">
        <v>500</v>
      </c>
      <c r="J7" t="str">
        <f t="shared" si="0"/>
        <v>GREEN</v>
      </c>
      <c r="K7">
        <f t="shared" si="1"/>
        <v>44.523809523809526</v>
      </c>
      <c r="L7">
        <v>1</v>
      </c>
    </row>
    <row r="8" spans="1:12" x14ac:dyDescent="0.3">
      <c r="A8" t="s">
        <v>11</v>
      </c>
      <c r="B8" t="s">
        <v>24</v>
      </c>
      <c r="C8" t="s">
        <v>28</v>
      </c>
      <c r="D8" t="s">
        <v>26</v>
      </c>
      <c r="E8" t="s">
        <v>29</v>
      </c>
      <c r="F8" t="s">
        <v>16</v>
      </c>
      <c r="G8">
        <v>8.6</v>
      </c>
      <c r="H8">
        <v>8.6</v>
      </c>
      <c r="I8">
        <v>500</v>
      </c>
      <c r="J8" t="str">
        <f t="shared" si="0"/>
        <v>GREEN</v>
      </c>
      <c r="K8">
        <f t="shared" si="1"/>
        <v>61.513157894736842</v>
      </c>
      <c r="L8">
        <v>1</v>
      </c>
    </row>
    <row r="9" spans="1:12" x14ac:dyDescent="0.3">
      <c r="A9" t="s">
        <v>11</v>
      </c>
      <c r="B9" t="s">
        <v>12</v>
      </c>
      <c r="C9" t="s">
        <v>22</v>
      </c>
      <c r="D9" t="s">
        <v>20</v>
      </c>
      <c r="E9" t="s">
        <v>23</v>
      </c>
      <c r="F9" t="s">
        <v>16</v>
      </c>
      <c r="G9">
        <v>9.1999999999999993</v>
      </c>
      <c r="H9">
        <v>9.1999999999999993</v>
      </c>
      <c r="I9">
        <v>500</v>
      </c>
      <c r="J9" t="str">
        <f t="shared" si="0"/>
        <v>RED</v>
      </c>
      <c r="K9">
        <f t="shared" si="1"/>
        <v>-500</v>
      </c>
      <c r="L9">
        <v>0</v>
      </c>
    </row>
    <row r="10" spans="1:12" x14ac:dyDescent="0.3">
      <c r="A10" t="s">
        <v>11</v>
      </c>
      <c r="B10" t="s">
        <v>30</v>
      </c>
      <c r="C10" t="s">
        <v>22</v>
      </c>
      <c r="D10" t="s">
        <v>20</v>
      </c>
      <c r="E10" t="s">
        <v>23</v>
      </c>
      <c r="F10" t="s">
        <v>31</v>
      </c>
      <c r="G10">
        <v>7.2</v>
      </c>
      <c r="H10">
        <v>7.2</v>
      </c>
      <c r="I10">
        <v>500</v>
      </c>
      <c r="J10" t="str">
        <f t="shared" si="0"/>
        <v>GREEN</v>
      </c>
      <c r="K10">
        <f t="shared" si="1"/>
        <v>75.403225806451616</v>
      </c>
      <c r="L10">
        <v>1</v>
      </c>
    </row>
    <row r="11" spans="1:12" x14ac:dyDescent="0.3">
      <c r="A11" t="s">
        <v>11</v>
      </c>
      <c r="B11" t="s">
        <v>12</v>
      </c>
      <c r="C11" t="s">
        <v>19</v>
      </c>
      <c r="D11" t="s">
        <v>20</v>
      </c>
      <c r="E11" t="s">
        <v>21</v>
      </c>
      <c r="F11" t="s">
        <v>16</v>
      </c>
      <c r="G11">
        <v>11</v>
      </c>
      <c r="H11">
        <v>11</v>
      </c>
      <c r="I11">
        <v>500</v>
      </c>
      <c r="J11" t="str">
        <f t="shared" si="0"/>
        <v>GREEN</v>
      </c>
      <c r="K11">
        <f t="shared" si="1"/>
        <v>46.75</v>
      </c>
      <c r="L11">
        <v>1</v>
      </c>
    </row>
    <row r="12" spans="1:12" x14ac:dyDescent="0.3">
      <c r="A12" t="s">
        <v>11</v>
      </c>
      <c r="B12" t="s">
        <v>30</v>
      </c>
      <c r="C12" t="s">
        <v>19</v>
      </c>
      <c r="D12" t="s">
        <v>20</v>
      </c>
      <c r="E12" t="s">
        <v>21</v>
      </c>
      <c r="F12" t="s">
        <v>31</v>
      </c>
      <c r="G12">
        <v>7</v>
      </c>
      <c r="H12">
        <v>7</v>
      </c>
      <c r="I12">
        <v>500</v>
      </c>
      <c r="J12" t="str">
        <f t="shared" si="0"/>
        <v>GREEN</v>
      </c>
      <c r="K12">
        <f t="shared" si="1"/>
        <v>77.916666666666671</v>
      </c>
      <c r="L12">
        <v>1</v>
      </c>
    </row>
  </sheetData>
  <sortState xmlns:xlrd2="http://schemas.microsoft.com/office/spreadsheetml/2017/richdata2" ref="A2:K12">
    <sortCondition ref="E2:E1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2026-04-24T03:09:07Z</dcterms:created>
  <dcterms:modified xsi:type="dcterms:W3CDTF">2026-04-24T03:12:12Z</dcterms:modified>
</cp:coreProperties>
</file>