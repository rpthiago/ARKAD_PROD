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21df80ec97692de0/Documentos/GitHub/ARKAD_PROD/Apostas_Diarias/"/>
    </mc:Choice>
  </mc:AlternateContent>
  <xr:revisionPtr revIDLastSave="22" documentId="11_2B590F4F95664E55B160C5F050A3E834554BED1D" xr6:coauthVersionLast="47" xr6:coauthVersionMax="47" xr10:uidLastSave="{FFBC046D-3203-4C1D-9556-7429198EC5DF}"/>
  <bookViews>
    <workbookView xWindow="-108" yWindow="-108" windowWidth="23256" windowHeight="12456" xr2:uid="{00000000-000D-0000-FFFF-FFFF00000000}"/>
  </bookViews>
  <sheets>
    <sheet name="Aposta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K3" i="1"/>
  <c r="J4" i="1"/>
  <c r="K4" i="1"/>
  <c r="J5" i="1"/>
  <c r="K5" i="1"/>
  <c r="J6" i="1"/>
  <c r="K6" i="1"/>
  <c r="J7" i="1"/>
  <c r="K7" i="1"/>
  <c r="J8" i="1"/>
  <c r="K8" i="1"/>
  <c r="J9" i="1"/>
  <c r="K9" i="1"/>
  <c r="J10" i="1"/>
  <c r="K10" i="1"/>
  <c r="J11" i="1"/>
  <c r="K11" i="1"/>
  <c r="J12" i="1"/>
  <c r="K12" i="1"/>
  <c r="J13" i="1"/>
  <c r="K13" i="1"/>
  <c r="J14" i="1"/>
  <c r="K14" i="1"/>
  <c r="J15" i="1"/>
  <c r="K15" i="1"/>
  <c r="J16" i="1"/>
  <c r="K16" i="1"/>
  <c r="J17" i="1"/>
  <c r="K17" i="1"/>
  <c r="K2" i="1"/>
  <c r="J2" i="1"/>
</calcChain>
</file>

<file path=xl/sharedStrings.xml><?xml version="1.0" encoding="utf-8"?>
<sst xmlns="http://schemas.openxmlformats.org/spreadsheetml/2006/main" count="107" uniqueCount="39">
  <si>
    <t>Data</t>
  </si>
  <si>
    <t>Prio</t>
  </si>
  <si>
    <t>Hora</t>
  </si>
  <si>
    <t>Liga</t>
  </si>
  <si>
    <t>Jogo</t>
  </si>
  <si>
    <t>Metodo</t>
  </si>
  <si>
    <t>Odd_Base</t>
  </si>
  <si>
    <t>Odd_Real_Pega</t>
  </si>
  <si>
    <t>Stake</t>
  </si>
  <si>
    <t>Resultado</t>
  </si>
  <si>
    <t>Lucro_Prejuizo</t>
  </si>
  <si>
    <t>2026-04-17</t>
  </si>
  <si>
    <t>P1 ⭐</t>
  </si>
  <si>
    <t>09:00:00</t>
  </si>
  <si>
    <t>CHINA 1</t>
  </si>
  <si>
    <t>Wuhan Three Towns x Chengdu Rongcheng</t>
  </si>
  <si>
    <t>Lay_CS_0x1_B365</t>
  </si>
  <si>
    <t>11:30:00</t>
  </si>
  <si>
    <t>ROMANIA 1</t>
  </si>
  <si>
    <t>Otelul Galati x UTA Arad</t>
  </si>
  <si>
    <t>14:00:00</t>
  </si>
  <si>
    <t>NORWAY 2</t>
  </si>
  <si>
    <t>Ranheim IL x Raufoss</t>
  </si>
  <si>
    <t>15:00:00</t>
  </si>
  <si>
    <t>NETHERLANDS 2</t>
  </si>
  <si>
    <t>Helmond Sport x VVV Venlo</t>
  </si>
  <si>
    <t>Jong PSV Eindhoven x Jong Ajax Amsterdam</t>
  </si>
  <si>
    <t>FRANCE 2</t>
  </si>
  <si>
    <t>Pau x Guingamp</t>
  </si>
  <si>
    <t>Vitesse Arnhem x MVV Maastricht</t>
  </si>
  <si>
    <t>15:30:00</t>
  </si>
  <si>
    <t>GERMANY 1</t>
  </si>
  <si>
    <t>St Pauli x FC Koln</t>
  </si>
  <si>
    <t>15:45:00</t>
  </si>
  <si>
    <t>IRELAND 2</t>
  </si>
  <si>
    <t>Kerry FC x Treaty United</t>
  </si>
  <si>
    <t>UCD x Finn Harps</t>
  </si>
  <si>
    <t>P4</t>
  </si>
  <si>
    <t>Lay_CS_1x0_B365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</si>
</sst>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7"/>
  <sheetViews>
    <sheetView tabSelected="1" workbookViewId="0">
      <selection activeCell="G24" sqref="G24:G25"/>
    </sheetView>
  </sheetViews>
  <sheetFormatPr defaultRowHeight="14.4" x14ac:dyDescent="0.3"/>
  <cols>
    <col min="1" max="1" width="14" customWidth="1"/>
    <col min="2" max="2" width="8" customWidth="1"/>
    <col min="3" max="3" width="12" customWidth="1"/>
    <col min="4" max="4" width="17" customWidth="1"/>
    <col min="5" max="5" width="40" customWidth="1"/>
    <col min="6" max="6" width="19" customWidth="1"/>
    <col min="7" max="7" width="12" customWidth="1"/>
    <col min="8" max="8" width="17" customWidth="1"/>
    <col min="9" max="9" width="9" customWidth="1"/>
    <col min="10" max="10" width="13" customWidth="1"/>
    <col min="11" max="11" width="18" customWidth="1"/>
  </cols>
  <sheetData>
    <row r="1" spans="1:1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2" x14ac:dyDescent="0.3">
      <c r="A2" t="s">
        <v>11</v>
      </c>
      <c r="B2" t="s">
        <v>12</v>
      </c>
      <c r="C2" t="s">
        <v>23</v>
      </c>
      <c r="D2" t="s">
        <v>24</v>
      </c>
      <c r="E2" t="s">
        <v>25</v>
      </c>
      <c r="F2" t="s">
        <v>16</v>
      </c>
      <c r="G2">
        <v>15</v>
      </c>
      <c r="H2">
        <v>15</v>
      </c>
      <c r="I2">
        <v>500</v>
      </c>
      <c r="J2" t="str">
        <f>IF(L2=1,"GREEN","RED")</f>
        <v>GREEN</v>
      </c>
      <c r="K2">
        <f>IF(L2=1,0.935/(H2-1)*I2,-500)</f>
        <v>33.392857142857146</v>
      </c>
      <c r="L2">
        <v>1</v>
      </c>
    </row>
    <row r="3" spans="1:12" x14ac:dyDescent="0.3">
      <c r="A3" t="s">
        <v>11</v>
      </c>
      <c r="B3" t="s">
        <v>12</v>
      </c>
      <c r="C3" t="s">
        <v>23</v>
      </c>
      <c r="D3" t="s">
        <v>24</v>
      </c>
      <c r="E3" t="s">
        <v>26</v>
      </c>
      <c r="F3" t="s">
        <v>16</v>
      </c>
      <c r="G3">
        <v>85</v>
      </c>
      <c r="H3">
        <v>85</v>
      </c>
      <c r="I3">
        <v>500</v>
      </c>
      <c r="J3" t="str">
        <f t="shared" ref="J3:J17" si="0">IF(L3=1,"GREEN","RED")</f>
        <v>RED</v>
      </c>
      <c r="K3">
        <f t="shared" ref="K3:K17" si="1">IF(L3=1,0.935/(H3-1)*I3,-500)</f>
        <v>-500</v>
      </c>
      <c r="L3">
        <v>0</v>
      </c>
    </row>
    <row r="4" spans="1:12" x14ac:dyDescent="0.3">
      <c r="A4" t="s">
        <v>11</v>
      </c>
      <c r="B4" t="s">
        <v>12</v>
      </c>
      <c r="C4" t="s">
        <v>33</v>
      </c>
      <c r="D4" t="s">
        <v>34</v>
      </c>
      <c r="E4" t="s">
        <v>35</v>
      </c>
      <c r="F4" t="s">
        <v>16</v>
      </c>
      <c r="G4">
        <v>11.5</v>
      </c>
      <c r="H4">
        <v>11.5</v>
      </c>
      <c r="I4">
        <v>500</v>
      </c>
      <c r="J4" t="str">
        <f t="shared" si="0"/>
        <v>GREEN</v>
      </c>
      <c r="K4">
        <f t="shared" si="1"/>
        <v>44.523809523809526</v>
      </c>
      <c r="L4">
        <v>1</v>
      </c>
    </row>
    <row r="5" spans="1:12" x14ac:dyDescent="0.3">
      <c r="A5" t="s">
        <v>11</v>
      </c>
      <c r="B5" t="s">
        <v>37</v>
      </c>
      <c r="C5" t="s">
        <v>33</v>
      </c>
      <c r="D5" t="s">
        <v>34</v>
      </c>
      <c r="E5" t="s">
        <v>35</v>
      </c>
      <c r="F5" t="s">
        <v>38</v>
      </c>
      <c r="G5">
        <v>9.8000000000000007</v>
      </c>
      <c r="H5">
        <v>9.8000000000000007</v>
      </c>
      <c r="I5">
        <v>500</v>
      </c>
      <c r="J5" t="str">
        <f t="shared" si="0"/>
        <v>GREEN</v>
      </c>
      <c r="K5">
        <f t="shared" si="1"/>
        <v>53.125</v>
      </c>
      <c r="L5">
        <v>1</v>
      </c>
    </row>
    <row r="6" spans="1:12" x14ac:dyDescent="0.3">
      <c r="A6" t="s">
        <v>11</v>
      </c>
      <c r="B6" t="s">
        <v>12</v>
      </c>
      <c r="C6" t="s">
        <v>17</v>
      </c>
      <c r="D6" t="s">
        <v>18</v>
      </c>
      <c r="E6" t="s">
        <v>19</v>
      </c>
      <c r="F6" t="s">
        <v>16</v>
      </c>
      <c r="G6">
        <v>12.5</v>
      </c>
      <c r="H6">
        <v>12.5</v>
      </c>
      <c r="I6">
        <v>500</v>
      </c>
      <c r="J6" t="str">
        <f t="shared" si="0"/>
        <v>GREEN</v>
      </c>
      <c r="K6">
        <f t="shared" si="1"/>
        <v>40.652173913043484</v>
      </c>
      <c r="L6">
        <v>1</v>
      </c>
    </row>
    <row r="7" spans="1:12" x14ac:dyDescent="0.3">
      <c r="A7" t="s">
        <v>11</v>
      </c>
      <c r="B7" t="s">
        <v>37</v>
      </c>
      <c r="C7" t="s">
        <v>17</v>
      </c>
      <c r="D7" t="s">
        <v>18</v>
      </c>
      <c r="E7" t="s">
        <v>19</v>
      </c>
      <c r="F7" t="s">
        <v>38</v>
      </c>
      <c r="G7">
        <v>10.5</v>
      </c>
      <c r="H7">
        <v>10.5</v>
      </c>
      <c r="I7">
        <v>500</v>
      </c>
      <c r="J7" t="str">
        <f t="shared" si="0"/>
        <v>RED</v>
      </c>
      <c r="K7">
        <f t="shared" si="1"/>
        <v>-500</v>
      </c>
      <c r="L7">
        <v>0</v>
      </c>
    </row>
    <row r="8" spans="1:12" x14ac:dyDescent="0.3">
      <c r="A8" t="s">
        <v>11</v>
      </c>
      <c r="B8" t="s">
        <v>12</v>
      </c>
      <c r="C8" t="s">
        <v>23</v>
      </c>
      <c r="D8" t="s">
        <v>27</v>
      </c>
      <c r="E8" t="s">
        <v>28</v>
      </c>
      <c r="F8" t="s">
        <v>16</v>
      </c>
      <c r="G8">
        <v>12</v>
      </c>
      <c r="H8">
        <v>12</v>
      </c>
      <c r="I8">
        <v>500</v>
      </c>
      <c r="J8" t="str">
        <f t="shared" si="0"/>
        <v>GREEN</v>
      </c>
      <c r="K8">
        <f t="shared" si="1"/>
        <v>42.5</v>
      </c>
      <c r="L8">
        <v>1</v>
      </c>
    </row>
    <row r="9" spans="1:12" x14ac:dyDescent="0.3">
      <c r="A9" t="s">
        <v>11</v>
      </c>
      <c r="B9" t="s">
        <v>37</v>
      </c>
      <c r="C9" t="s">
        <v>23</v>
      </c>
      <c r="D9" t="s">
        <v>27</v>
      </c>
      <c r="E9" t="s">
        <v>28</v>
      </c>
      <c r="F9" t="s">
        <v>38</v>
      </c>
      <c r="G9">
        <v>14.5</v>
      </c>
      <c r="H9">
        <v>14.5</v>
      </c>
      <c r="I9">
        <v>500</v>
      </c>
      <c r="J9" t="str">
        <f t="shared" si="0"/>
        <v>GREEN</v>
      </c>
      <c r="K9">
        <f t="shared" si="1"/>
        <v>34.629629629629626</v>
      </c>
      <c r="L9">
        <v>1</v>
      </c>
    </row>
    <row r="10" spans="1:12" x14ac:dyDescent="0.3">
      <c r="A10" t="s">
        <v>11</v>
      </c>
      <c r="B10" t="s">
        <v>12</v>
      </c>
      <c r="C10" t="s">
        <v>20</v>
      </c>
      <c r="D10" t="s">
        <v>21</v>
      </c>
      <c r="E10" t="s">
        <v>22</v>
      </c>
      <c r="F10" t="s">
        <v>16</v>
      </c>
      <c r="G10">
        <v>29</v>
      </c>
      <c r="H10">
        <v>29</v>
      </c>
      <c r="I10">
        <v>500</v>
      </c>
      <c r="J10" t="str">
        <f t="shared" si="0"/>
        <v>GREEN</v>
      </c>
      <c r="K10">
        <f t="shared" si="1"/>
        <v>16.696428571428573</v>
      </c>
      <c r="L10">
        <v>1</v>
      </c>
    </row>
    <row r="11" spans="1:12" x14ac:dyDescent="0.3">
      <c r="A11" t="s">
        <v>11</v>
      </c>
      <c r="B11" t="s">
        <v>37</v>
      </c>
      <c r="C11" t="s">
        <v>20</v>
      </c>
      <c r="D11" t="s">
        <v>21</v>
      </c>
      <c r="E11" t="s">
        <v>22</v>
      </c>
      <c r="F11" t="s">
        <v>38</v>
      </c>
      <c r="G11">
        <v>18.5</v>
      </c>
      <c r="H11">
        <v>18.5</v>
      </c>
      <c r="I11">
        <v>500</v>
      </c>
      <c r="J11" t="str">
        <f t="shared" si="0"/>
        <v>GREEN</v>
      </c>
      <c r="K11">
        <f t="shared" si="1"/>
        <v>26.714285714285715</v>
      </c>
      <c r="L11">
        <v>1</v>
      </c>
    </row>
    <row r="12" spans="1:12" x14ac:dyDescent="0.3">
      <c r="A12" t="s">
        <v>11</v>
      </c>
      <c r="B12" t="s">
        <v>12</v>
      </c>
      <c r="C12" t="s">
        <v>30</v>
      </c>
      <c r="D12" t="s">
        <v>31</v>
      </c>
      <c r="E12" t="s">
        <v>32</v>
      </c>
      <c r="F12" t="s">
        <v>16</v>
      </c>
      <c r="G12">
        <v>10.5</v>
      </c>
      <c r="H12">
        <v>10.5</v>
      </c>
      <c r="I12">
        <v>500</v>
      </c>
      <c r="J12" t="str">
        <f t="shared" si="0"/>
        <v>GREEN</v>
      </c>
      <c r="K12">
        <f t="shared" si="1"/>
        <v>49.210526315789473</v>
      </c>
      <c r="L12">
        <v>1</v>
      </c>
    </row>
    <row r="13" spans="1:12" x14ac:dyDescent="0.3">
      <c r="A13" t="s">
        <v>11</v>
      </c>
      <c r="B13" t="s">
        <v>37</v>
      </c>
      <c r="C13" t="s">
        <v>30</v>
      </c>
      <c r="D13" t="s">
        <v>31</v>
      </c>
      <c r="E13" t="s">
        <v>32</v>
      </c>
      <c r="F13" t="s">
        <v>38</v>
      </c>
      <c r="G13">
        <v>11.5</v>
      </c>
      <c r="H13">
        <v>11.5</v>
      </c>
      <c r="I13">
        <v>500</v>
      </c>
      <c r="J13" t="str">
        <f t="shared" si="0"/>
        <v>GREEN</v>
      </c>
      <c r="K13">
        <f t="shared" si="1"/>
        <v>44.523809523809526</v>
      </c>
      <c r="L13">
        <v>1</v>
      </c>
    </row>
    <row r="14" spans="1:12" x14ac:dyDescent="0.3">
      <c r="A14" t="s">
        <v>11</v>
      </c>
      <c r="B14" t="s">
        <v>12</v>
      </c>
      <c r="C14" t="s">
        <v>33</v>
      </c>
      <c r="D14" t="s">
        <v>34</v>
      </c>
      <c r="E14" t="s">
        <v>36</v>
      </c>
      <c r="F14" t="s">
        <v>16</v>
      </c>
      <c r="G14">
        <v>18</v>
      </c>
      <c r="H14">
        <v>18</v>
      </c>
      <c r="I14">
        <v>500</v>
      </c>
      <c r="J14" t="str">
        <f t="shared" si="0"/>
        <v>GREEN</v>
      </c>
      <c r="K14">
        <f t="shared" si="1"/>
        <v>27.5</v>
      </c>
      <c r="L14">
        <v>1</v>
      </c>
    </row>
    <row r="15" spans="1:12" x14ac:dyDescent="0.3">
      <c r="A15" t="s">
        <v>11</v>
      </c>
      <c r="B15" t="s">
        <v>37</v>
      </c>
      <c r="C15" t="s">
        <v>33</v>
      </c>
      <c r="D15" t="s">
        <v>34</v>
      </c>
      <c r="E15" t="s">
        <v>36</v>
      </c>
      <c r="F15" t="s">
        <v>38</v>
      </c>
      <c r="G15">
        <v>12</v>
      </c>
      <c r="H15">
        <v>12</v>
      </c>
      <c r="I15">
        <v>500</v>
      </c>
      <c r="J15" t="str">
        <f t="shared" si="0"/>
        <v>GREEN</v>
      </c>
      <c r="K15">
        <f t="shared" si="1"/>
        <v>42.5</v>
      </c>
      <c r="L15">
        <v>1</v>
      </c>
    </row>
    <row r="16" spans="1:12" x14ac:dyDescent="0.3">
      <c r="A16" t="s">
        <v>11</v>
      </c>
      <c r="B16" t="s">
        <v>12</v>
      </c>
      <c r="C16" t="s">
        <v>23</v>
      </c>
      <c r="D16" t="s">
        <v>24</v>
      </c>
      <c r="E16" t="s">
        <v>29</v>
      </c>
      <c r="F16" t="s">
        <v>16</v>
      </c>
      <c r="G16">
        <v>44</v>
      </c>
      <c r="H16">
        <v>44</v>
      </c>
      <c r="I16">
        <v>500</v>
      </c>
      <c r="J16" t="str">
        <f t="shared" si="0"/>
        <v>GREEN</v>
      </c>
      <c r="K16">
        <f t="shared" si="1"/>
        <v>10.872093023255815</v>
      </c>
      <c r="L16">
        <v>1</v>
      </c>
    </row>
    <row r="17" spans="1:12" x14ac:dyDescent="0.3">
      <c r="A17" t="s">
        <v>11</v>
      </c>
      <c r="B17" t="s">
        <v>12</v>
      </c>
      <c r="C17" t="s">
        <v>13</v>
      </c>
      <c r="D17" t="s">
        <v>14</v>
      </c>
      <c r="E17" t="s">
        <v>15</v>
      </c>
      <c r="F17" t="s">
        <v>16</v>
      </c>
      <c r="G17">
        <v>10.5</v>
      </c>
      <c r="H17">
        <v>10.5</v>
      </c>
      <c r="I17">
        <v>500</v>
      </c>
      <c r="J17" t="str">
        <f t="shared" si="0"/>
        <v>RED</v>
      </c>
      <c r="K17">
        <f t="shared" si="1"/>
        <v>-500</v>
      </c>
      <c r="L17">
        <v>0</v>
      </c>
    </row>
  </sheetData>
  <sortState xmlns:xlrd2="http://schemas.microsoft.com/office/spreadsheetml/2017/richdata2" ref="A2:K17">
    <sortCondition ref="E2:E17"/>
  </sortState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Apostas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thiago Rodrigues</cp:lastModifiedBy>
  <dcterms:created xsi:type="dcterms:W3CDTF">2026-04-24T03:53:04Z</dcterms:created>
  <dcterms:modified xsi:type="dcterms:W3CDTF">2026-04-24T03:54:45Z</dcterms:modified>
</cp:coreProperties>
</file>