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2" documentId="11_2B590F4F95A6C422ED23D7F0507380F35999E4A8" xr6:coauthVersionLast="47" xr6:coauthVersionMax="47" xr10:uidLastSave="{AC8E8CED-03A6-4EEA-940D-D096CDEA4FE5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K4" i="1" s="1"/>
  <c r="I4" i="1"/>
  <c r="J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J2" i="1"/>
  <c r="I2" i="1"/>
  <c r="H2" i="1"/>
  <c r="K2" i="1" s="1"/>
</calcChain>
</file>

<file path=xl/sharedStrings.xml><?xml version="1.0" encoding="utf-8"?>
<sst xmlns="http://schemas.openxmlformats.org/spreadsheetml/2006/main" count="77" uniqueCount="41">
  <si>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</si>
  <si>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</si>
  <si>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</si>
  <si>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</si>
  <si>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</si>
  <si>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</si>
  <si>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</si>
  <si>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</si>
  <si>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</si>
  <si>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</si>
  <si>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</si>
  <si>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2026-04-12</t>
  </si>
  <si>
    <t>P1 ⭐</t>
  </si>
  <si>
    <t>07:00:00</t>
  </si>
  <si>
    <t>PORTUGAL 2</t>
  </si>
  <si>
    <t>Feirense x Vizela</t>
  </si>
  <si>
    <t>Lay_CS_0x1_B365</t>
  </si>
  <si>
    <t>07:15:00</t>
  </si>
  <si>
    <t>NETHERLANDS 2</t>
  </si>
  <si>
    <t>FC Dordrecht x ADO Den Haag</t>
  </si>
  <si>
    <t>08:00:00</t>
  </si>
  <si>
    <t>SCOTLAND 1</t>
  </si>
  <si>
    <t>Falkirk x Rangers</t>
  </si>
  <si>
    <t>08:30:00</t>
  </si>
  <si>
    <t>CHINA 1</t>
  </si>
  <si>
    <t>Shijiazhuang Gongfu FC x Foshan Nanshi FC</t>
  </si>
  <si>
    <t>10:00:00</t>
  </si>
  <si>
    <t>ENGLAND 1</t>
  </si>
  <si>
    <t>Crystal Palace x Newcastle</t>
  </si>
  <si>
    <t>SWEDEN 2</t>
  </si>
  <si>
    <t>IK Brage x Oddevold</t>
  </si>
  <si>
    <t>Nottm Forest x Aston Villa</t>
  </si>
  <si>
    <t>ITALY 2</t>
  </si>
  <si>
    <t>Padova x Empoli</t>
  </si>
  <si>
    <t>Sunderland x Tottenham</t>
  </si>
  <si>
    <t>12:00:00</t>
  </si>
  <si>
    <t>AUSTRIA 1</t>
  </si>
  <si>
    <t>Austria Wien x Rapid Vienna</t>
  </si>
  <si>
    <t>13:00:00</t>
  </si>
  <si>
    <t>DENMARK 1</t>
  </si>
  <si>
    <t>Randers x FC Copenhagen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</si>
</sst>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14" sqref="G14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500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9.6</v>
      </c>
      <c r="H2">
        <f>G2</f>
        <v>9.6</v>
      </c>
      <c r="I2">
        <f>$L$1</f>
        <v>500</v>
      </c>
      <c r="J2" t="str">
        <f>IF(L2=1,"GREEN","RED")</f>
        <v>GREEN</v>
      </c>
      <c r="K2">
        <f>IF(L2=1,0.935/(H2-1)*I2,-500)</f>
        <v>54.360465116279073</v>
      </c>
      <c r="L2">
        <v>1</v>
      </c>
    </row>
    <row r="3" spans="1:12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16</v>
      </c>
      <c r="G3">
        <v>11.5</v>
      </c>
      <c r="H3">
        <f t="shared" ref="H3:H12" si="0">G3</f>
        <v>11.5</v>
      </c>
      <c r="I3">
        <f t="shared" ref="I3:I12" si="1">$L$1</f>
        <v>500</v>
      </c>
      <c r="J3" t="str">
        <f t="shared" ref="J3:J12" si="2">IF(L3=1,"GREEN","RED")</f>
        <v>GREEN</v>
      </c>
      <c r="K3">
        <f t="shared" ref="K3:K12" si="3">IF(L3=1,0.935/(H3-1)*I3,-500)</f>
        <v>44.523809523809526</v>
      </c>
      <c r="L3">
        <v>1</v>
      </c>
    </row>
    <row r="4" spans="1:12" x14ac:dyDescent="0.3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16</v>
      </c>
      <c r="G4">
        <v>11</v>
      </c>
      <c r="H4">
        <f t="shared" si="0"/>
        <v>11</v>
      </c>
      <c r="I4">
        <f t="shared" si="1"/>
        <v>500</v>
      </c>
      <c r="J4" t="str">
        <f t="shared" si="2"/>
        <v>GREEN</v>
      </c>
      <c r="K4">
        <f t="shared" si="3"/>
        <v>46.75</v>
      </c>
      <c r="L4">
        <v>1</v>
      </c>
    </row>
    <row r="5" spans="1:12" x14ac:dyDescent="0.3">
      <c r="A5" t="s">
        <v>11</v>
      </c>
      <c r="B5" t="s">
        <v>12</v>
      </c>
      <c r="C5" t="s">
        <v>23</v>
      </c>
      <c r="D5" t="s">
        <v>24</v>
      </c>
      <c r="E5" t="s">
        <v>25</v>
      </c>
      <c r="F5" t="s">
        <v>16</v>
      </c>
      <c r="G5">
        <v>10.5</v>
      </c>
      <c r="H5">
        <f t="shared" si="0"/>
        <v>10.5</v>
      </c>
      <c r="I5">
        <f t="shared" si="1"/>
        <v>500</v>
      </c>
      <c r="J5" t="str">
        <f t="shared" si="2"/>
        <v>RED</v>
      </c>
      <c r="K5">
        <f t="shared" si="3"/>
        <v>-500</v>
      </c>
      <c r="L5">
        <v>0</v>
      </c>
    </row>
    <row r="6" spans="1:12" x14ac:dyDescent="0.3">
      <c r="A6" t="s">
        <v>11</v>
      </c>
      <c r="B6" t="s">
        <v>12</v>
      </c>
      <c r="C6" t="s">
        <v>26</v>
      </c>
      <c r="D6" t="s">
        <v>27</v>
      </c>
      <c r="E6" t="s">
        <v>28</v>
      </c>
      <c r="F6" t="s">
        <v>16</v>
      </c>
      <c r="G6">
        <v>11.5</v>
      </c>
      <c r="H6">
        <f t="shared" si="0"/>
        <v>11.5</v>
      </c>
      <c r="I6">
        <f t="shared" si="1"/>
        <v>500</v>
      </c>
      <c r="J6" t="str">
        <f t="shared" si="2"/>
        <v>GREEN</v>
      </c>
      <c r="K6">
        <f t="shared" si="3"/>
        <v>44.523809523809526</v>
      </c>
      <c r="L6">
        <v>1</v>
      </c>
    </row>
    <row r="7" spans="1:12" x14ac:dyDescent="0.3">
      <c r="A7" t="s">
        <v>11</v>
      </c>
      <c r="B7" t="s">
        <v>12</v>
      </c>
      <c r="C7" t="s">
        <v>26</v>
      </c>
      <c r="D7" t="s">
        <v>29</v>
      </c>
      <c r="E7" t="s">
        <v>30</v>
      </c>
      <c r="F7" t="s">
        <v>16</v>
      </c>
      <c r="G7">
        <v>11</v>
      </c>
      <c r="H7">
        <f t="shared" si="0"/>
        <v>11</v>
      </c>
      <c r="I7">
        <f t="shared" si="1"/>
        <v>500</v>
      </c>
      <c r="J7" t="str">
        <f t="shared" si="2"/>
        <v>GREEN</v>
      </c>
      <c r="K7">
        <f t="shared" si="3"/>
        <v>46.75</v>
      </c>
      <c r="L7">
        <v>1</v>
      </c>
    </row>
    <row r="8" spans="1:12" x14ac:dyDescent="0.3">
      <c r="A8" t="s">
        <v>11</v>
      </c>
      <c r="B8" t="s">
        <v>12</v>
      </c>
      <c r="C8" t="s">
        <v>26</v>
      </c>
      <c r="D8" t="s">
        <v>27</v>
      </c>
      <c r="E8" t="s">
        <v>31</v>
      </c>
      <c r="F8" t="s">
        <v>16</v>
      </c>
      <c r="G8">
        <v>11</v>
      </c>
      <c r="H8">
        <f t="shared" si="0"/>
        <v>11</v>
      </c>
      <c r="I8">
        <f t="shared" si="1"/>
        <v>500</v>
      </c>
      <c r="J8" t="str">
        <f t="shared" si="2"/>
        <v>GREEN</v>
      </c>
      <c r="K8">
        <f t="shared" si="3"/>
        <v>46.75</v>
      </c>
      <c r="L8">
        <v>1</v>
      </c>
    </row>
    <row r="9" spans="1:12" x14ac:dyDescent="0.3">
      <c r="A9" t="s">
        <v>11</v>
      </c>
      <c r="B9" t="s">
        <v>12</v>
      </c>
      <c r="C9" t="s">
        <v>26</v>
      </c>
      <c r="D9" t="s">
        <v>32</v>
      </c>
      <c r="E9" t="s">
        <v>33</v>
      </c>
      <c r="F9" t="s">
        <v>16</v>
      </c>
      <c r="G9">
        <v>9.6</v>
      </c>
      <c r="H9">
        <f t="shared" si="0"/>
        <v>9.6</v>
      </c>
      <c r="I9">
        <f t="shared" si="1"/>
        <v>500</v>
      </c>
      <c r="J9" t="str">
        <f t="shared" si="2"/>
        <v>GREEN</v>
      </c>
      <c r="K9">
        <f t="shared" si="3"/>
        <v>54.360465116279073</v>
      </c>
      <c r="L9">
        <v>1</v>
      </c>
    </row>
    <row r="10" spans="1:12" x14ac:dyDescent="0.3">
      <c r="A10" t="s">
        <v>11</v>
      </c>
      <c r="B10" t="s">
        <v>12</v>
      </c>
      <c r="C10" t="s">
        <v>26</v>
      </c>
      <c r="D10" t="s">
        <v>27</v>
      </c>
      <c r="E10" t="s">
        <v>34</v>
      </c>
      <c r="F10" t="s">
        <v>16</v>
      </c>
      <c r="G10">
        <v>11.5</v>
      </c>
      <c r="H10">
        <f t="shared" si="0"/>
        <v>11.5</v>
      </c>
      <c r="I10">
        <f t="shared" si="1"/>
        <v>500</v>
      </c>
      <c r="J10" t="str">
        <f t="shared" si="2"/>
        <v>GREEN</v>
      </c>
      <c r="K10">
        <f t="shared" si="3"/>
        <v>44.523809523809526</v>
      </c>
      <c r="L10">
        <v>1</v>
      </c>
    </row>
    <row r="11" spans="1:12" x14ac:dyDescent="0.3">
      <c r="A11" t="s">
        <v>11</v>
      </c>
      <c r="B11" t="s">
        <v>12</v>
      </c>
      <c r="C11" t="s">
        <v>35</v>
      </c>
      <c r="D11" t="s">
        <v>36</v>
      </c>
      <c r="E11" t="s">
        <v>37</v>
      </c>
      <c r="F11" t="s">
        <v>16</v>
      </c>
      <c r="G11">
        <v>10</v>
      </c>
      <c r="H11">
        <f t="shared" si="0"/>
        <v>10</v>
      </c>
      <c r="I11">
        <f t="shared" si="1"/>
        <v>500</v>
      </c>
      <c r="J11" t="str">
        <f t="shared" si="2"/>
        <v>GREEN</v>
      </c>
      <c r="K11">
        <f t="shared" si="3"/>
        <v>51.944444444444443</v>
      </c>
      <c r="L11">
        <v>1</v>
      </c>
    </row>
    <row r="12" spans="1:12" x14ac:dyDescent="0.3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 t="s">
        <v>16</v>
      </c>
      <c r="G12">
        <v>10.5</v>
      </c>
      <c r="H12">
        <f t="shared" si="0"/>
        <v>10.5</v>
      </c>
      <c r="I12">
        <f t="shared" si="1"/>
        <v>500</v>
      </c>
      <c r="J12" t="str">
        <f t="shared" si="2"/>
        <v>GREEN</v>
      </c>
      <c r="K12">
        <f t="shared" si="3"/>
        <v>49.210526315789473</v>
      </c>
      <c r="L1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2026-04-29T03:01:27Z</dcterms:created>
  <dcterms:modified xsi:type="dcterms:W3CDTF">2026-04-29T03:06:48Z</dcterms:modified>
</cp:coreProperties>
</file>