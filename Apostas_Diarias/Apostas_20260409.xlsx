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3" documentId="11_2B590F4F95664205E182D7F05077D8746283E29C" xr6:coauthVersionLast="47" xr6:coauthVersionMax="47" xr10:uidLastSave="{22608E06-F81B-4257-B30C-A6108139BF9B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K2" i="1"/>
  <c r="J2" i="1"/>
</calcChain>
</file>

<file path=xl/sharedStrings.xml><?xml version="1.0" encoding="utf-8"?>
<sst xmlns="http://schemas.openxmlformats.org/spreadsheetml/2006/main" count="47" uniqueCount="24">
  <si>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</si>
  <si>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</si>
  <si>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</si>
  <si>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</si>
  <si>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</si>
  <si>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</si>
  <si>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</si>
  <si>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</si>
  <si>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</si>
  <si>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</si>
  <si>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</si>
  <si>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2026-04-09</t>
  </si>
  <si>
    <t>P1 ⭐</t>
  </si>
  <si>
    <t>11:00:00</t>
  </si>
  <si>
    <t>TURKEY 2</t>
  </si>
  <si>
    <t>Boluspor x Sivasspor</t>
  </si>
  <si>
    <t>Lay_CS_0x1_B365</t>
  </si>
  <si>
    <t>13:00:00</t>
  </si>
  <si>
    <t>SAUDI ARABIA 1</t>
  </si>
  <si>
    <t>Dhamk x Al-Quadisiya (KSA)</t>
  </si>
  <si>
    <t>14:40:00</t>
  </si>
  <si>
    <t>Al-Adalh x Al Batin</t>
  </si>
  <si>
    <t>P4</t>
  </si>
  <si>
    <t>Lay_CS_1x0_B365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</si>
</sst>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H15" sqref="H15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8" customWidth="1"/>
    <col min="5" max="5" width="34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20</v>
      </c>
      <c r="D2" t="s">
        <v>18</v>
      </c>
      <c r="E2" t="s">
        <v>21</v>
      </c>
      <c r="F2" t="s">
        <v>16</v>
      </c>
      <c r="G2">
        <v>17</v>
      </c>
      <c r="H2">
        <v>17</v>
      </c>
      <c r="I2">
        <v>500</v>
      </c>
      <c r="J2" t="str">
        <f>IF(L2=1,"GREEN","RED")</f>
        <v>GREEN</v>
      </c>
      <c r="K2">
        <f>IF(L2=1,0.935/(H2-1)*I2,-500)</f>
        <v>29.21875</v>
      </c>
      <c r="L2">
        <v>1</v>
      </c>
    </row>
    <row r="3" spans="1:12" x14ac:dyDescent="0.3">
      <c r="A3" t="s">
        <v>11</v>
      </c>
      <c r="B3" t="s">
        <v>22</v>
      </c>
      <c r="C3" t="s">
        <v>20</v>
      </c>
      <c r="D3" t="s">
        <v>18</v>
      </c>
      <c r="E3" t="s">
        <v>21</v>
      </c>
      <c r="F3" t="s">
        <v>23</v>
      </c>
      <c r="G3">
        <v>15</v>
      </c>
      <c r="H3">
        <v>15</v>
      </c>
      <c r="I3">
        <v>500</v>
      </c>
      <c r="J3" t="str">
        <f t="shared" ref="J3:J7" si="0">IF(L3=1,"GREEN","RED")</f>
        <v>GREEN</v>
      </c>
      <c r="K3">
        <f t="shared" ref="K3:K7" si="1">IF(L3=1,0.935/(H3-1)*I3,-500)</f>
        <v>33.392857142857146</v>
      </c>
      <c r="L3">
        <v>1</v>
      </c>
    </row>
    <row r="4" spans="1:12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14</v>
      </c>
      <c r="H4">
        <v>14</v>
      </c>
      <c r="I4">
        <v>500</v>
      </c>
      <c r="J4" t="str">
        <f t="shared" si="0"/>
        <v>GREEN</v>
      </c>
      <c r="K4">
        <f t="shared" si="1"/>
        <v>35.96153846153846</v>
      </c>
      <c r="L4">
        <v>1</v>
      </c>
    </row>
    <row r="5" spans="1:12" x14ac:dyDescent="0.3">
      <c r="A5" t="s">
        <v>11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13</v>
      </c>
      <c r="H5">
        <v>13</v>
      </c>
      <c r="I5">
        <v>500</v>
      </c>
      <c r="J5" t="str">
        <f t="shared" si="0"/>
        <v>GREEN</v>
      </c>
      <c r="K5">
        <f t="shared" si="1"/>
        <v>38.958333333333336</v>
      </c>
      <c r="L5">
        <v>1</v>
      </c>
    </row>
    <row r="6" spans="1:12" x14ac:dyDescent="0.3">
      <c r="A6" t="s">
        <v>11</v>
      </c>
      <c r="B6" t="s">
        <v>12</v>
      </c>
      <c r="C6" t="s">
        <v>17</v>
      </c>
      <c r="D6" t="s">
        <v>18</v>
      </c>
      <c r="E6" t="s">
        <v>19</v>
      </c>
      <c r="F6" t="s">
        <v>16</v>
      </c>
      <c r="G6">
        <v>11.5</v>
      </c>
      <c r="H6">
        <v>11.5</v>
      </c>
      <c r="I6">
        <v>500</v>
      </c>
      <c r="J6" t="str">
        <f t="shared" si="0"/>
        <v>GREEN</v>
      </c>
      <c r="K6">
        <f t="shared" si="1"/>
        <v>44.523809523809526</v>
      </c>
      <c r="L6">
        <v>1</v>
      </c>
    </row>
    <row r="7" spans="1:12" x14ac:dyDescent="0.3">
      <c r="A7" t="s">
        <v>11</v>
      </c>
      <c r="B7" t="s">
        <v>22</v>
      </c>
      <c r="C7" t="s">
        <v>17</v>
      </c>
      <c r="D7" t="s">
        <v>18</v>
      </c>
      <c r="E7" t="s">
        <v>19</v>
      </c>
      <c r="F7" t="s">
        <v>23</v>
      </c>
      <c r="G7">
        <v>34</v>
      </c>
      <c r="H7">
        <v>34</v>
      </c>
      <c r="I7">
        <v>500</v>
      </c>
      <c r="J7" t="str">
        <f t="shared" si="0"/>
        <v>GREEN</v>
      </c>
      <c r="K7">
        <f t="shared" si="1"/>
        <v>14.166666666666668</v>
      </c>
      <c r="L7">
        <v>1</v>
      </c>
    </row>
  </sheetData>
  <sortState xmlns:xlrd2="http://schemas.microsoft.com/office/spreadsheetml/2017/richdata2" ref="A2:K7">
    <sortCondition ref="E2:E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2026-04-24T03:40:37Z</dcterms:created>
  <dcterms:modified xsi:type="dcterms:W3CDTF">2026-04-24T03:41:55Z</dcterms:modified>
</cp:coreProperties>
</file>