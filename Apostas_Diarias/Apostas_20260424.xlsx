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25" documentId="11_2B590F4F9576C86105C3C6F0501B48327759EF57" xr6:coauthVersionLast="47" xr6:coauthVersionMax="47" xr10:uidLastSave="{A0EA6BB0-8DAC-4E59-9368-BD453941E6BA}"/>
  <bookViews>
    <workbookView xWindow="-108" yWindow="-108" windowWidth="23256" windowHeight="12456" xr2:uid="{00000000-000D-0000-FFFF-FFFF00000000}"/>
  </bookViews>
  <sheets>
    <sheet name="Apostas" sheetId="1" r:id="rId1"/>
  </sheets>
  <definedNames>
    <definedName name="_xlnm._FilterDatabase" localSheetId="0" hidden="1">Apostas!$A$1:$K$16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K2" i="1"/>
  <c r="J2" i="1"/>
</calcChain>
</file>

<file path=xl/sharedStrings.xml><?xml version="1.0" encoding="utf-8"?>
<sst xmlns="http://schemas.openxmlformats.org/spreadsheetml/2006/main" count="101" uniqueCount="47">
  <si>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</si>
  <si>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</si>
  <si>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</si>
  <si>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</si>
  <si>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</si>
  <si>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</si>
  <si>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</si>
  <si>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</si>
  <si>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</si>
  <si>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</si>
  <si>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</si>
  <si>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2026-04-24</t>
  </si>
  <si>
    <t>P1 ⭐</t>
  </si>
  <si>
    <t>12:00:00</t>
  </si>
  <si>
    <t>FINLAND 1</t>
  </si>
  <si>
    <t>TPS x Gnistan</t>
  </si>
  <si>
    <t>Lay_CS_0x1_B365</t>
  </si>
  <si>
    <t>13:10:00</t>
  </si>
  <si>
    <t>SAUDI ARABIA 1</t>
  </si>
  <si>
    <t>Al-Hazm (KSA) x Al Riyadh SC</t>
  </si>
  <si>
    <t>14:30:00</t>
  </si>
  <si>
    <t>FRANCE 3</t>
  </si>
  <si>
    <t>Chateauroux x Fleury Merogis</t>
  </si>
  <si>
    <t>Le Puy x Versailles 78 FC</t>
  </si>
  <si>
    <t>SWITZERLAND 2</t>
  </si>
  <si>
    <t>Rapperswil-Jona x Etoile Carouge</t>
  </si>
  <si>
    <t>15:00:00</t>
  </si>
  <si>
    <t>FRANCE 2</t>
  </si>
  <si>
    <t>Amiens x Montpellier</t>
  </si>
  <si>
    <t>Clermont x Bastia</t>
  </si>
  <si>
    <t>NETHERLANDS 2</t>
  </si>
  <si>
    <t>Den Bosch x ADO Den Haag</t>
  </si>
  <si>
    <t>RKC Waalwijk x Jong PSV Eindhoven</t>
  </si>
  <si>
    <t>15:15:00</t>
  </si>
  <si>
    <t>Stade Nyonnais x FC Vaduz</t>
  </si>
  <si>
    <t>15:30:00</t>
  </si>
  <si>
    <t>POLAND 1</t>
  </si>
  <si>
    <t>Jagiellonia Bialystock x Gornik Zabrze</t>
  </si>
  <si>
    <t>15:45:00</t>
  </si>
  <si>
    <t>FRANCE 1</t>
  </si>
  <si>
    <t>Brest x Lens</t>
  </si>
  <si>
    <t>IRELAND 2</t>
  </si>
  <si>
    <t>Finn Harps x Athlone Town</t>
  </si>
  <si>
    <t>Wexford F.C x Cobh Ramblers</t>
  </si>
  <si>
    <t>16:15:00</t>
  </si>
  <si>
    <t>PORTUGAL 1</t>
  </si>
  <si>
    <t>Alverca x Arouca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</si>
</sst>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abSelected="1" workbookViewId="0">
      <selection activeCell="D22" sqref="D22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17</v>
      </c>
      <c r="H2">
        <v>17</v>
      </c>
      <c r="I2">
        <v>500</v>
      </c>
      <c r="J2" t="str">
        <f>IF(L2=1,"GREEN","RED")</f>
        <v>GREEN</v>
      </c>
      <c r="K2">
        <f>IF(L2=1,0.935/(H2-1)*I2,-500)</f>
        <v>29.21875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12.5</v>
      </c>
      <c r="H3">
        <v>12.5</v>
      </c>
      <c r="I3">
        <v>500</v>
      </c>
      <c r="J3" t="str">
        <f t="shared" ref="J3:J16" si="0">IF(L3=1,"GREEN","RED")</f>
        <v>GREEN</v>
      </c>
      <c r="K3">
        <f t="shared" ref="K3:K16" si="1">IF(L3=1,0.935/(H3-1)*I3,-500)</f>
        <v>40.652173913043484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14.5</v>
      </c>
      <c r="H4">
        <v>14.5</v>
      </c>
      <c r="I4">
        <v>500</v>
      </c>
      <c r="J4" t="str">
        <f t="shared" si="0"/>
        <v>GREEN</v>
      </c>
      <c r="K4">
        <f t="shared" si="1"/>
        <v>34.629629629629626</v>
      </c>
      <c r="L4">
        <v>1</v>
      </c>
    </row>
    <row r="5" spans="1:12" x14ac:dyDescent="0.3">
      <c r="A5" t="s">
        <v>11</v>
      </c>
      <c r="B5" t="s">
        <v>12</v>
      </c>
      <c r="C5" t="s">
        <v>20</v>
      </c>
      <c r="D5" t="s">
        <v>21</v>
      </c>
      <c r="E5" t="s">
        <v>23</v>
      </c>
      <c r="F5" t="s">
        <v>16</v>
      </c>
      <c r="G5">
        <v>13</v>
      </c>
      <c r="H5">
        <v>13</v>
      </c>
      <c r="I5">
        <v>500</v>
      </c>
      <c r="J5" t="str">
        <f t="shared" si="0"/>
        <v>GREEN</v>
      </c>
      <c r="K5">
        <f t="shared" si="1"/>
        <v>38.958333333333336</v>
      </c>
      <c r="L5">
        <v>1</v>
      </c>
    </row>
    <row r="6" spans="1:12" x14ac:dyDescent="0.3">
      <c r="A6" t="s">
        <v>11</v>
      </c>
      <c r="B6" t="s">
        <v>12</v>
      </c>
      <c r="C6" t="s">
        <v>20</v>
      </c>
      <c r="D6" t="s">
        <v>24</v>
      </c>
      <c r="E6" t="s">
        <v>25</v>
      </c>
      <c r="F6" t="s">
        <v>16</v>
      </c>
      <c r="G6">
        <v>14.5</v>
      </c>
      <c r="H6">
        <v>14.5</v>
      </c>
      <c r="I6">
        <v>500</v>
      </c>
      <c r="J6" t="str">
        <f t="shared" si="0"/>
        <v>GREEN</v>
      </c>
      <c r="K6">
        <f t="shared" si="1"/>
        <v>34.629629629629626</v>
      </c>
      <c r="L6">
        <v>1</v>
      </c>
    </row>
    <row r="7" spans="1:12" x14ac:dyDescent="0.3">
      <c r="A7" t="s">
        <v>11</v>
      </c>
      <c r="B7" t="s">
        <v>12</v>
      </c>
      <c r="C7" t="s">
        <v>26</v>
      </c>
      <c r="D7" t="s">
        <v>27</v>
      </c>
      <c r="E7" t="s">
        <v>28</v>
      </c>
      <c r="F7" t="s">
        <v>16</v>
      </c>
      <c r="G7">
        <v>10.5</v>
      </c>
      <c r="H7">
        <v>10.5</v>
      </c>
      <c r="I7">
        <v>500</v>
      </c>
      <c r="J7" t="str">
        <f t="shared" si="0"/>
        <v>GREEN</v>
      </c>
      <c r="K7">
        <f t="shared" si="1"/>
        <v>49.210526315789473</v>
      </c>
      <c r="L7">
        <v>1</v>
      </c>
    </row>
    <row r="8" spans="1:12" x14ac:dyDescent="0.3">
      <c r="A8" t="s">
        <v>11</v>
      </c>
      <c r="B8" t="s">
        <v>12</v>
      </c>
      <c r="C8" t="s">
        <v>26</v>
      </c>
      <c r="D8" t="s">
        <v>27</v>
      </c>
      <c r="E8" t="s">
        <v>29</v>
      </c>
      <c r="F8" t="s">
        <v>16</v>
      </c>
      <c r="G8">
        <v>9.6</v>
      </c>
      <c r="H8">
        <v>9.6</v>
      </c>
      <c r="I8">
        <v>500</v>
      </c>
      <c r="J8" t="str">
        <f t="shared" si="0"/>
        <v>GREEN</v>
      </c>
      <c r="K8">
        <f t="shared" si="1"/>
        <v>54.360465116279073</v>
      </c>
      <c r="L8">
        <v>1</v>
      </c>
    </row>
    <row r="9" spans="1:12" x14ac:dyDescent="0.3">
      <c r="A9" t="s">
        <v>11</v>
      </c>
      <c r="B9" t="s">
        <v>12</v>
      </c>
      <c r="C9" t="s">
        <v>26</v>
      </c>
      <c r="D9" t="s">
        <v>30</v>
      </c>
      <c r="E9" t="s">
        <v>31</v>
      </c>
      <c r="F9" t="s">
        <v>16</v>
      </c>
      <c r="G9">
        <v>12.5</v>
      </c>
      <c r="H9">
        <v>12.5</v>
      </c>
      <c r="I9">
        <v>500</v>
      </c>
      <c r="J9" t="str">
        <f t="shared" si="0"/>
        <v>GREEN</v>
      </c>
      <c r="K9">
        <f t="shared" si="1"/>
        <v>40.652173913043484</v>
      </c>
      <c r="L9">
        <v>1</v>
      </c>
    </row>
    <row r="10" spans="1:12" x14ac:dyDescent="0.3">
      <c r="A10" t="s">
        <v>11</v>
      </c>
      <c r="B10" t="s">
        <v>12</v>
      </c>
      <c r="C10" t="s">
        <v>26</v>
      </c>
      <c r="D10" t="s">
        <v>30</v>
      </c>
      <c r="E10" t="s">
        <v>32</v>
      </c>
      <c r="F10" t="s">
        <v>16</v>
      </c>
      <c r="G10">
        <v>38</v>
      </c>
      <c r="H10">
        <v>38</v>
      </c>
      <c r="I10">
        <v>500</v>
      </c>
      <c r="J10" t="str">
        <f t="shared" si="0"/>
        <v>GREEN</v>
      </c>
      <c r="K10">
        <f t="shared" si="1"/>
        <v>12.635135135135137</v>
      </c>
      <c r="L10">
        <v>1</v>
      </c>
    </row>
    <row r="11" spans="1:12" x14ac:dyDescent="0.3">
      <c r="A11" t="s">
        <v>11</v>
      </c>
      <c r="B11" t="s">
        <v>12</v>
      </c>
      <c r="C11" t="s">
        <v>33</v>
      </c>
      <c r="D11" t="s">
        <v>24</v>
      </c>
      <c r="E11" t="s">
        <v>34</v>
      </c>
      <c r="F11" t="s">
        <v>16</v>
      </c>
      <c r="G11">
        <v>14.5</v>
      </c>
      <c r="H11">
        <v>14.5</v>
      </c>
      <c r="I11">
        <v>500</v>
      </c>
      <c r="J11" t="str">
        <f t="shared" si="0"/>
        <v>GREEN</v>
      </c>
      <c r="K11">
        <f t="shared" si="1"/>
        <v>34.629629629629626</v>
      </c>
      <c r="L11">
        <v>1</v>
      </c>
    </row>
    <row r="12" spans="1:12" x14ac:dyDescent="0.3">
      <c r="A12" t="s">
        <v>11</v>
      </c>
      <c r="B12" t="s">
        <v>12</v>
      </c>
      <c r="C12" t="s">
        <v>35</v>
      </c>
      <c r="D12" t="s">
        <v>36</v>
      </c>
      <c r="E12" t="s">
        <v>37</v>
      </c>
      <c r="F12" t="s">
        <v>16</v>
      </c>
      <c r="G12">
        <v>14.5</v>
      </c>
      <c r="H12">
        <v>14.5</v>
      </c>
      <c r="I12">
        <v>500</v>
      </c>
      <c r="J12" t="str">
        <f t="shared" si="0"/>
        <v>GREEN</v>
      </c>
      <c r="K12">
        <f t="shared" si="1"/>
        <v>34.629629629629626</v>
      </c>
      <c r="L12">
        <v>1</v>
      </c>
    </row>
    <row r="13" spans="1:12" x14ac:dyDescent="0.3">
      <c r="A13" t="s">
        <v>11</v>
      </c>
      <c r="B13" t="s">
        <v>12</v>
      </c>
      <c r="C13" t="s">
        <v>38</v>
      </c>
      <c r="D13" t="s">
        <v>39</v>
      </c>
      <c r="E13" t="s">
        <v>40</v>
      </c>
      <c r="F13" t="s">
        <v>16</v>
      </c>
      <c r="G13">
        <v>11</v>
      </c>
      <c r="H13">
        <v>11</v>
      </c>
      <c r="I13">
        <v>500</v>
      </c>
      <c r="J13" t="str">
        <f t="shared" si="0"/>
        <v>GREEN</v>
      </c>
      <c r="K13">
        <f t="shared" si="1"/>
        <v>46.75</v>
      </c>
      <c r="L13">
        <v>1</v>
      </c>
    </row>
    <row r="14" spans="1:12" x14ac:dyDescent="0.3">
      <c r="A14" t="s">
        <v>11</v>
      </c>
      <c r="B14" t="s">
        <v>12</v>
      </c>
      <c r="C14" t="s">
        <v>38</v>
      </c>
      <c r="D14" t="s">
        <v>41</v>
      </c>
      <c r="E14" t="s">
        <v>42</v>
      </c>
      <c r="F14" t="s">
        <v>16</v>
      </c>
      <c r="G14">
        <v>15.5</v>
      </c>
      <c r="H14">
        <v>15.5</v>
      </c>
      <c r="I14">
        <v>500</v>
      </c>
      <c r="J14" t="str">
        <f t="shared" si="0"/>
        <v>GREEN</v>
      </c>
      <c r="K14">
        <f t="shared" si="1"/>
        <v>32.241379310344826</v>
      </c>
      <c r="L14">
        <v>1</v>
      </c>
    </row>
    <row r="15" spans="1:12" x14ac:dyDescent="0.3">
      <c r="A15" t="s">
        <v>11</v>
      </c>
      <c r="B15" t="s">
        <v>12</v>
      </c>
      <c r="C15" t="s">
        <v>38</v>
      </c>
      <c r="D15" t="s">
        <v>41</v>
      </c>
      <c r="E15" t="s">
        <v>43</v>
      </c>
      <c r="F15" t="s">
        <v>16</v>
      </c>
      <c r="G15">
        <v>12</v>
      </c>
      <c r="H15">
        <v>12</v>
      </c>
      <c r="I15">
        <v>500</v>
      </c>
      <c r="J15" t="str">
        <f t="shared" si="0"/>
        <v>GREEN</v>
      </c>
      <c r="K15">
        <f t="shared" si="1"/>
        <v>42.5</v>
      </c>
      <c r="L15">
        <v>1</v>
      </c>
    </row>
    <row r="16" spans="1:12" x14ac:dyDescent="0.3">
      <c r="A16" t="s">
        <v>11</v>
      </c>
      <c r="B16" t="s">
        <v>12</v>
      </c>
      <c r="C16" t="s">
        <v>44</v>
      </c>
      <c r="D16" t="s">
        <v>45</v>
      </c>
      <c r="E16" t="s">
        <v>46</v>
      </c>
      <c r="F16" t="s">
        <v>16</v>
      </c>
      <c r="G16">
        <v>12.5</v>
      </c>
      <c r="H16">
        <v>12.5</v>
      </c>
      <c r="I16">
        <v>500</v>
      </c>
      <c r="J16" t="str">
        <f t="shared" si="0"/>
        <v>GREEN</v>
      </c>
      <c r="K16">
        <f t="shared" si="1"/>
        <v>40.652173913043484</v>
      </c>
      <c r="L16">
        <v>1</v>
      </c>
    </row>
  </sheetData>
  <autoFilter ref="A1:K16" xr:uid="{00000000-0001-0000-0000-000000000000}">
    <sortState xmlns:xlrd2="http://schemas.microsoft.com/office/spreadsheetml/2017/richdata2" ref="A2:K16">
      <sortCondition ref="E2:E16"/>
    </sortState>
  </autoFilter>
  <sortState xmlns:xlrd2="http://schemas.microsoft.com/office/spreadsheetml/2017/richdata2" ref="A2:L16">
    <sortCondition ref="C1:C16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2026-04-24T18:10:27Z</dcterms:created>
  <dcterms:modified xsi:type="dcterms:W3CDTF">2026-04-24T21:02:04Z</dcterms:modified>
</cp:coreProperties>
</file>