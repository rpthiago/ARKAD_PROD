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4" documentId="11_2B590F4F9536CD023D60CAF0505CA8754CC1F47D" xr6:coauthVersionLast="47" xr6:coauthVersionMax="47" xr10:uidLastSave="{51ECB451-4575-4A73-9FB6-E73F119DBDA6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K3" i="1" s="1"/>
  <c r="I3" i="1"/>
  <c r="J3" i="1"/>
  <c r="H4" i="1"/>
  <c r="K4" i="1" s="1"/>
  <c r="I4" i="1"/>
  <c r="J4" i="1"/>
  <c r="J2" i="1"/>
  <c r="I2" i="1"/>
  <c r="H2" i="1"/>
  <c r="K2" i="1" s="1"/>
</calcChain>
</file>

<file path=xl/sharedStrings.xml><?xml version="1.0" encoding="utf-8"?>
<sst xmlns="http://schemas.openxmlformats.org/spreadsheetml/2006/main" count="29" uniqueCount="22">
  <si>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</si>
  <si>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</si>
  <si>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</si>
  <si>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</si>
  <si>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</si>
  <si>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</si>
  <si>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</si>
  <si>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</si>
  <si>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</si>
  <si>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</si>
  <si>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</si>
  <si>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2026-04-22</t>
  </si>
  <si>
    <t>P1 ⭐</t>
  </si>
  <si>
    <t>08:35:00</t>
  </si>
  <si>
    <t>CHINA 1</t>
  </si>
  <si>
    <t>Qingdao Youth Island x Henan Songshan Longmen</t>
  </si>
  <si>
    <t>Lay_CS_0x1_B365</t>
  </si>
  <si>
    <t>12:00:00</t>
  </si>
  <si>
    <t>SERBIA 1</t>
  </si>
  <si>
    <t>Radnik Surdulica x FK Novi Pazar</t>
  </si>
  <si>
    <t>14:00:00</t>
  </si>
  <si>
    <t>Zeleznicar Pancevo x Crvena Zvezda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</si>
</sst>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"/>
  <sheetViews>
    <sheetView tabSelected="1" workbookViewId="0">
      <selection activeCell="H13" sqref="H13"/>
    </sheetView>
  </sheetViews>
  <sheetFormatPr defaultRowHeight="14.4" x14ac:dyDescent="0.3"/>
  <cols>
    <col min="1" max="1" width="14" customWidth="1"/>
    <col min="2" max="2" width="8" customWidth="1"/>
    <col min="3" max="4" width="12" customWidth="1"/>
    <col min="5" max="5" width="4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>
        <v>500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11.5</v>
      </c>
      <c r="H2">
        <f>G2</f>
        <v>11.5</v>
      </c>
      <c r="I2">
        <f>$L$1</f>
        <v>500</v>
      </c>
      <c r="J2" t="str">
        <f>IF(L2=1,"GREEN","RED")</f>
        <v>GREEN</v>
      </c>
      <c r="K2">
        <f>IF(L2=1,0.935/(H2-1)*I2,-500)</f>
        <v>44.523809523809526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18</v>
      </c>
      <c r="E3" t="s">
        <v>19</v>
      </c>
      <c r="F3" t="s">
        <v>16</v>
      </c>
      <c r="G3">
        <v>11.5</v>
      </c>
      <c r="H3">
        <f t="shared" ref="H3:H4" si="0">G3</f>
        <v>11.5</v>
      </c>
      <c r="I3">
        <f t="shared" ref="I3:I4" si="1">$L$1</f>
        <v>500</v>
      </c>
      <c r="J3" t="str">
        <f t="shared" ref="J3:J4" si="2">IF(L3=1,"GREEN","RED")</f>
        <v>GREEN</v>
      </c>
      <c r="K3">
        <f t="shared" ref="K3:K4" si="3">IF(L3=1,0.935/(H3-1)*I3,-500)</f>
        <v>44.523809523809526</v>
      </c>
      <c r="L3">
        <v>1</v>
      </c>
    </row>
    <row r="4" spans="1:12" x14ac:dyDescent="0.3">
      <c r="A4" t="s">
        <v>11</v>
      </c>
      <c r="B4" t="s">
        <v>12</v>
      </c>
      <c r="C4" t="s">
        <v>20</v>
      </c>
      <c r="D4" t="s">
        <v>18</v>
      </c>
      <c r="E4" t="s">
        <v>21</v>
      </c>
      <c r="F4" t="s">
        <v>16</v>
      </c>
      <c r="G4">
        <v>11.5</v>
      </c>
      <c r="H4">
        <f t="shared" si="0"/>
        <v>11.5</v>
      </c>
      <c r="I4">
        <f t="shared" si="1"/>
        <v>500</v>
      </c>
      <c r="J4" t="str">
        <f t="shared" si="2"/>
        <v>GREEN</v>
      </c>
      <c r="K4">
        <f t="shared" si="3"/>
        <v>44.523809523809526</v>
      </c>
      <c r="L4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2026-04-29T03:18:08Z</dcterms:created>
  <dcterms:modified xsi:type="dcterms:W3CDTF">2026-04-29T03:18:51Z</dcterms:modified>
</cp:coreProperties>
</file>