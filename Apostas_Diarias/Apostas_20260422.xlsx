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4" documentId="11_2B590F4F9526CF0F1583DFF0505370F66261E289" xr6:coauthVersionLast="47" xr6:coauthVersionMax="47" xr10:uidLastSave="{E7759969-91E1-4009-BC7B-ABB465F88476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K2" i="1"/>
  <c r="J2" i="1"/>
</calcChain>
</file>

<file path=xl/sharedStrings.xml><?xml version="1.0" encoding="utf-8"?>
<sst xmlns="http://schemas.openxmlformats.org/spreadsheetml/2006/main" count="59" uniqueCount="32">
  <si>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</si>
  <si>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</si>
  <si>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</si>
  <si>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</si>
  <si>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</si>
  <si>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</si>
  <si>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</si>
  <si>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</si>
  <si>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</si>
  <si>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</si>
  <si>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</si>
  <si>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2026-04-22</t>
  </si>
  <si>
    <t>P1 ⭐</t>
  </si>
  <si>
    <t>14:00:00</t>
  </si>
  <si>
    <t>PORTUGAL 2</t>
  </si>
  <si>
    <t>Oliveirense x Benfica B</t>
  </si>
  <si>
    <t>Lay_CS_0x1_B365</t>
  </si>
  <si>
    <t>15:00:00</t>
  </si>
  <si>
    <t>ICELAND 1</t>
  </si>
  <si>
    <t>Keflavik x Breidablik</t>
  </si>
  <si>
    <t>SPAIN 1</t>
  </si>
  <si>
    <t>Real Sociedad x Getafe</t>
  </si>
  <si>
    <t>15:30:00</t>
  </si>
  <si>
    <t>AUSTRIA 1</t>
  </si>
  <si>
    <t>Sturm Graz x LASK Linz</t>
  </si>
  <si>
    <t>20:30:00</t>
  </si>
  <si>
    <t>USA 1</t>
  </si>
  <si>
    <t>Toronto FC x Philadelphia</t>
  </si>
  <si>
    <t>23:00:00</t>
  </si>
  <si>
    <t>Oakland Roots x Las Vegas Lights FC</t>
  </si>
  <si>
    <t>P4</t>
  </si>
  <si>
    <t>Lay_CS_1x0_B365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</si>
</sst>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H16" sqref="H1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9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17</v>
      </c>
      <c r="D2" t="s">
        <v>18</v>
      </c>
      <c r="E2" t="s">
        <v>19</v>
      </c>
      <c r="F2" t="s">
        <v>16</v>
      </c>
      <c r="G2">
        <v>14.5</v>
      </c>
      <c r="H2">
        <v>14.5</v>
      </c>
      <c r="I2">
        <v>500</v>
      </c>
      <c r="J2" t="str">
        <f>IF(L2=1,"GREEN","RED")</f>
        <v>GREEN</v>
      </c>
      <c r="K2">
        <f>IF(L2=1,0.935/(H2-1)*I2,-500)</f>
        <v>34.629629629629626</v>
      </c>
      <c r="L2">
        <v>1</v>
      </c>
    </row>
    <row r="3" spans="1:12" x14ac:dyDescent="0.3">
      <c r="A3" t="s">
        <v>11</v>
      </c>
      <c r="B3" t="s">
        <v>12</v>
      </c>
      <c r="C3" t="s">
        <v>28</v>
      </c>
      <c r="D3" t="s">
        <v>26</v>
      </c>
      <c r="E3" t="s">
        <v>29</v>
      </c>
      <c r="F3" t="s">
        <v>16</v>
      </c>
      <c r="G3">
        <v>16</v>
      </c>
      <c r="H3">
        <v>16</v>
      </c>
      <c r="I3">
        <v>500</v>
      </c>
      <c r="J3" t="str">
        <f t="shared" ref="J3:J9" si="0">IF(L3=1,"GREEN","RED")</f>
        <v>GREEN</v>
      </c>
      <c r="K3">
        <f t="shared" ref="K3:K9" si="1">IF(L3=1,0.935/(H3-1)*I3,-500)</f>
        <v>31.166666666666668</v>
      </c>
      <c r="L3">
        <v>1</v>
      </c>
    </row>
    <row r="4" spans="1:12" x14ac:dyDescent="0.3">
      <c r="A4" t="s">
        <v>11</v>
      </c>
      <c r="B4" t="s">
        <v>30</v>
      </c>
      <c r="C4" t="s">
        <v>28</v>
      </c>
      <c r="D4" t="s">
        <v>26</v>
      </c>
      <c r="E4" t="s">
        <v>29</v>
      </c>
      <c r="F4" t="s">
        <v>31</v>
      </c>
      <c r="G4">
        <v>10.5</v>
      </c>
      <c r="H4">
        <v>10.5</v>
      </c>
      <c r="I4">
        <v>500</v>
      </c>
      <c r="J4" t="str">
        <f t="shared" si="0"/>
        <v>GREEN</v>
      </c>
      <c r="K4">
        <f t="shared" si="1"/>
        <v>49.210526315789473</v>
      </c>
      <c r="L4">
        <v>1</v>
      </c>
    </row>
    <row r="5" spans="1:12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12</v>
      </c>
      <c r="H5">
        <v>12</v>
      </c>
      <c r="I5">
        <v>500</v>
      </c>
      <c r="J5" t="str">
        <f t="shared" si="0"/>
        <v>GREEN</v>
      </c>
      <c r="K5">
        <f t="shared" si="1"/>
        <v>42.5</v>
      </c>
      <c r="L5">
        <v>1</v>
      </c>
    </row>
    <row r="6" spans="1:12" x14ac:dyDescent="0.3">
      <c r="A6" t="s">
        <v>11</v>
      </c>
      <c r="B6" t="s">
        <v>12</v>
      </c>
      <c r="C6" t="s">
        <v>17</v>
      </c>
      <c r="D6" t="s">
        <v>20</v>
      </c>
      <c r="E6" t="s">
        <v>21</v>
      </c>
      <c r="F6" t="s">
        <v>16</v>
      </c>
      <c r="G6">
        <v>11</v>
      </c>
      <c r="H6">
        <v>11</v>
      </c>
      <c r="I6">
        <v>500</v>
      </c>
      <c r="J6" t="str">
        <f t="shared" si="0"/>
        <v>RED</v>
      </c>
      <c r="K6">
        <f t="shared" si="1"/>
        <v>-500</v>
      </c>
      <c r="L6">
        <v>0</v>
      </c>
    </row>
    <row r="7" spans="1:12" x14ac:dyDescent="0.3">
      <c r="A7" t="s">
        <v>11</v>
      </c>
      <c r="B7" t="s">
        <v>12</v>
      </c>
      <c r="C7" t="s">
        <v>22</v>
      </c>
      <c r="D7" t="s">
        <v>23</v>
      </c>
      <c r="E7" t="s">
        <v>24</v>
      </c>
      <c r="F7" t="s">
        <v>16</v>
      </c>
      <c r="G7">
        <v>12</v>
      </c>
      <c r="H7">
        <v>12</v>
      </c>
      <c r="I7">
        <v>500</v>
      </c>
      <c r="J7" t="str">
        <f t="shared" si="0"/>
        <v>GREEN</v>
      </c>
      <c r="K7">
        <f t="shared" si="1"/>
        <v>42.5</v>
      </c>
      <c r="L7">
        <v>1</v>
      </c>
    </row>
    <row r="8" spans="1:12" x14ac:dyDescent="0.3">
      <c r="A8" t="s">
        <v>11</v>
      </c>
      <c r="B8" t="s">
        <v>12</v>
      </c>
      <c r="C8" t="s">
        <v>25</v>
      </c>
      <c r="D8" t="s">
        <v>26</v>
      </c>
      <c r="E8" t="s">
        <v>27</v>
      </c>
      <c r="F8" t="s">
        <v>16</v>
      </c>
      <c r="G8">
        <v>12.5</v>
      </c>
      <c r="H8">
        <v>12.5</v>
      </c>
      <c r="I8">
        <v>500</v>
      </c>
      <c r="J8" t="str">
        <f t="shared" si="0"/>
        <v>GREEN</v>
      </c>
      <c r="K8">
        <f t="shared" si="1"/>
        <v>40.652173913043484</v>
      </c>
      <c r="L8">
        <v>1</v>
      </c>
    </row>
    <row r="9" spans="1:12" x14ac:dyDescent="0.3">
      <c r="A9" t="s">
        <v>11</v>
      </c>
      <c r="B9" t="s">
        <v>30</v>
      </c>
      <c r="C9" t="s">
        <v>25</v>
      </c>
      <c r="D9" t="s">
        <v>26</v>
      </c>
      <c r="E9" t="s">
        <v>27</v>
      </c>
      <c r="F9" t="s">
        <v>31</v>
      </c>
      <c r="G9">
        <v>11.5</v>
      </c>
      <c r="H9">
        <v>11.5</v>
      </c>
      <c r="I9">
        <v>500</v>
      </c>
      <c r="J9" t="str">
        <f t="shared" si="0"/>
        <v>GREEN</v>
      </c>
      <c r="K9">
        <f t="shared" si="1"/>
        <v>44.523809523809526</v>
      </c>
      <c r="L9">
        <v>1</v>
      </c>
    </row>
  </sheetData>
  <sortState xmlns:xlrd2="http://schemas.microsoft.com/office/spreadsheetml/2017/richdata2" ref="A2:K9">
    <sortCondition ref="E2:E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2026-04-24T03:58:54Z</dcterms:created>
  <dcterms:modified xsi:type="dcterms:W3CDTF">2026-04-24T04:00:00Z</dcterms:modified>
</cp:coreProperties>
</file>