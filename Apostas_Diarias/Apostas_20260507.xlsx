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4" documentId="11_2B590F4F95764A041DE3CBF050EDC8775FB7FA1D" xr6:coauthVersionLast="47" xr6:coauthVersionMax="47" xr10:uidLastSave="{D4F163C2-B735-48A2-ACC5-F1F0BA980AF4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2" i="1"/>
  <c r="N2" i="1" l="1"/>
  <c r="P2" i="1" s="1"/>
  <c r="O2" i="1" l="1"/>
</calcChain>
</file>

<file path=xl/sharedStrings.xml><?xml version="1.0" encoding="utf-8"?>
<sst xmlns="http://schemas.openxmlformats.org/spreadsheetml/2006/main" count="30" uniqueCount="30">
  <si>
    <t>Data</t>
  </si>
  <si>
    <t>Hora</t>
  </si>
  <si>
    <t>Prio</t>
  </si>
  <si>
    <t>Liga</t>
  </si>
  <si>
    <t>Jogo</t>
  </si>
  <si>
    <t>Metodo</t>
  </si>
  <si>
    <t>Odd_Base</t>
  </si>
  <si>
    <t>Profile_Mode</t>
  </si>
  <si>
    <t>Stake_Base_R$</t>
  </si>
  <si>
    <t>Mult_Metodo</t>
  </si>
  <si>
    <t>Mult_Odd_Band</t>
  </si>
  <si>
    <t>Greens_Consecutivos_Dia</t>
  </si>
  <si>
    <t>Teve_Red_no_Dia</t>
  </si>
  <si>
    <t>Mult_Intradia</t>
  </si>
  <si>
    <t>Percentual_Stake_sobre_Base_%</t>
  </si>
  <si>
    <t>Stake_Final_Aplicada_R$</t>
  </si>
  <si>
    <t>Acao</t>
  </si>
  <si>
    <t>Odd_Real_Pega</t>
  </si>
  <si>
    <t>Stake</t>
  </si>
  <si>
    <t>Resultado</t>
  </si>
  <si>
    <t>Lucro_Prejuizo</t>
  </si>
  <si>
    <t>2026-05-07</t>
  </si>
  <si>
    <t>14:00:00</t>
  </si>
  <si>
    <t>P1 ⭐</t>
  </si>
  <si>
    <t>EGYPT 1</t>
  </si>
  <si>
    <t>Haras El Hodood x ZED FC</t>
  </si>
  <si>
    <t>Lay_CS_0x1_B365</t>
  </si>
  <si>
    <t>moderado</t>
  </si>
  <si>
    <t>NAO</t>
  </si>
  <si>
    <t>APOSTAR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</si>
</sst>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L1" workbookViewId="0">
      <selection activeCell="S9" sqref="S9"/>
    </sheetView>
  </sheetViews>
  <sheetFormatPr defaultRowHeight="14.4" x14ac:dyDescent="0.3"/>
  <cols>
    <col min="1" max="1" width="14" customWidth="1"/>
    <col min="2" max="2" width="12" customWidth="1"/>
    <col min="3" max="3" width="8" customWidth="1"/>
    <col min="4" max="4" width="11" customWidth="1"/>
    <col min="5" max="5" width="28" customWidth="1"/>
    <col min="6" max="6" width="19" customWidth="1"/>
    <col min="7" max="7" width="12" customWidth="1"/>
    <col min="8" max="8" width="16" customWidth="1"/>
    <col min="9" max="9" width="17" customWidth="1"/>
    <col min="10" max="10" width="15" customWidth="1"/>
    <col min="11" max="11" width="17" customWidth="1"/>
    <col min="12" max="12" width="27" customWidth="1"/>
    <col min="13" max="13" width="19" customWidth="1"/>
    <col min="14" max="14" width="17" customWidth="1"/>
    <col min="15" max="15" width="33" customWidth="1"/>
    <col min="16" max="16" width="27" customWidth="1"/>
    <col min="17" max="17" width="11" customWidth="1"/>
    <col min="18" max="18" width="17" customWidth="1"/>
    <col min="19" max="19" width="9" customWidth="1"/>
    <col min="20" max="20" width="13" customWidth="1"/>
    <col min="21" max="21" width="18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500</v>
      </c>
    </row>
    <row r="2" spans="1:22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11.5</v>
      </c>
      <c r="H2" t="s">
        <v>27</v>
      </c>
      <c r="I2">
        <v>500</v>
      </c>
      <c r="J2">
        <v>1.1000000000000001</v>
      </c>
      <c r="K2">
        <v>1</v>
      </c>
      <c r="L2">
        <v>0</v>
      </c>
      <c r="M2" t="s">
        <v>28</v>
      </c>
      <c r="N2">
        <f>1+(0*L2)</f>
        <v>1</v>
      </c>
      <c r="O2">
        <f>J2*K2*N2*100</f>
        <v>110.00000000000001</v>
      </c>
      <c r="P2">
        <f>I2*J2*K2*N2</f>
        <v>550</v>
      </c>
      <c r="Q2" t="s">
        <v>29</v>
      </c>
      <c r="R2">
        <v>11.5</v>
      </c>
      <c r="S2">
        <v>500</v>
      </c>
      <c r="T2" t="str">
        <f>IF(V2=1,"GREEN","RED")</f>
        <v>GREEN</v>
      </c>
      <c r="U2">
        <f>IF(V2=1,0.935/(R2-1)*S2,-500)</f>
        <v>44.523809523809526</v>
      </c>
      <c r="V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2026-05-08T21:37:52Z</dcterms:created>
  <dcterms:modified xsi:type="dcterms:W3CDTF">2026-05-08T21:39:00Z</dcterms:modified>
</cp:coreProperties>
</file>