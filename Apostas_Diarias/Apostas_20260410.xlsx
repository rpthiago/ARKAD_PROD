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Apostas_Diarias/"/>
    </mc:Choice>
  </mc:AlternateContent>
  <xr:revisionPtr revIDLastSave="5" documentId="11_2B590F4F95E6C73A4100DBF05037D0B2697DFADE" xr6:coauthVersionLast="47" xr6:coauthVersionMax="47" xr10:uidLastSave="{825A05D9-F99E-4585-98B6-68F361FA93FC}"/>
  <bookViews>
    <workbookView xWindow="-108" yWindow="-108" windowWidth="23256" windowHeight="12456" xr2:uid="{00000000-000D-0000-FFFF-FFFF00000000}"/>
  </bookViews>
  <sheets>
    <sheet name="Apos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K3" i="1" s="1"/>
  <c r="I3" i="1"/>
  <c r="J3" i="1"/>
  <c r="H4" i="1"/>
  <c r="K4" i="1" s="1"/>
  <c r="I4" i="1"/>
  <c r="J4" i="1"/>
  <c r="H5" i="1"/>
  <c r="K5" i="1" s="1"/>
  <c r="I5" i="1"/>
  <c r="J5" i="1"/>
  <c r="J2" i="1"/>
  <c r="I2" i="1"/>
  <c r="H2" i="1"/>
  <c r="K2" i="1" s="1"/>
</calcChain>
</file>

<file path=xl/sharedStrings.xml><?xml version="1.0" encoding="utf-8"?>
<sst xmlns="http://schemas.openxmlformats.org/spreadsheetml/2006/main" count="35" uniqueCount="24">
  <si>
    <t>Data</t>
  </si>
  <si>
    <t>Prio</t>
  </si>
  <si>
    <t>Hora</t>
  </si>
  <si>
    <t>Liga</t>
  </si>
  <si>
    <t>Jogo</t>
  </si>
  <si>
    <t>Metodo</t>
  </si>
  <si>
    <t>Odd_Base</t>
  </si>
  <si>
    <t>Odd_Real_Pega</t>
  </si>
  <si>
    <t>Stake</t>
  </si>
  <si>
    <t>Resultado</t>
  </si>
  <si>
    <t>Lucro_Prejuizo</t>
  </si>
  <si>
    <t>2026-04-10</t>
  </si>
  <si>
    <t>P1 ⭐</t>
  </si>
  <si>
    <t>12:00:00</t>
  </si>
  <si>
    <t>FINLAND 1</t>
  </si>
  <si>
    <t>TPS x Lahti</t>
  </si>
  <si>
    <t>Lay_CS_0x1_B365</t>
  </si>
  <si>
    <t>15:00:00</t>
  </si>
  <si>
    <t>FRANCE 2</t>
  </si>
  <si>
    <t>Annecy x Montpellier</t>
  </si>
  <si>
    <t>Clermont x Nancy</t>
  </si>
  <si>
    <t>15:45:00</t>
  </si>
  <si>
    <t>SCOTLAND 2</t>
  </si>
  <si>
    <t>Queens Park x Ross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</si>
</sst>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G16" sqref="G16"/>
    </sheetView>
  </sheetViews>
  <sheetFormatPr defaultRowHeight="14.4" x14ac:dyDescent="0.3"/>
  <cols>
    <col min="1" max="1" width="14" customWidth="1"/>
    <col min="2" max="2" width="8" customWidth="1"/>
    <col min="3" max="3" width="12" customWidth="1"/>
    <col min="4" max="4" width="14" customWidth="1"/>
    <col min="5" max="5" width="25" customWidth="1"/>
    <col min="6" max="6" width="19" customWidth="1"/>
    <col min="7" max="7" width="12" customWidth="1"/>
    <col min="8" max="8" width="17" customWidth="1"/>
    <col min="9" max="9" width="9" customWidth="1"/>
    <col min="10" max="10" width="13" customWidth="1"/>
    <col min="11" max="11" width="18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>
        <v>500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11</v>
      </c>
      <c r="H2">
        <f>G2</f>
        <v>11</v>
      </c>
      <c r="I2">
        <f>$L$1</f>
        <v>500</v>
      </c>
      <c r="J2" t="str">
        <f>IF(L2=1,"GREEN","RED")</f>
        <v>GREEN</v>
      </c>
      <c r="K2">
        <f>IF(L2=1,0.935/(H2-1)*I2,-500)</f>
        <v>46.75</v>
      </c>
      <c r="L2">
        <v>1</v>
      </c>
    </row>
    <row r="3" spans="1:12" x14ac:dyDescent="0.3">
      <c r="A3" t="s">
        <v>11</v>
      </c>
      <c r="B3" t="s">
        <v>12</v>
      </c>
      <c r="C3" t="s">
        <v>17</v>
      </c>
      <c r="D3" t="s">
        <v>18</v>
      </c>
      <c r="E3" t="s">
        <v>19</v>
      </c>
      <c r="F3" t="s">
        <v>16</v>
      </c>
      <c r="G3">
        <v>10.5</v>
      </c>
      <c r="H3">
        <f t="shared" ref="H3:H5" si="0">G3</f>
        <v>10.5</v>
      </c>
      <c r="I3">
        <f t="shared" ref="I3:I5" si="1">$L$1</f>
        <v>500</v>
      </c>
      <c r="J3" t="str">
        <f t="shared" ref="J3:J5" si="2">IF(L3=1,"GREEN","RED")</f>
        <v>GREEN</v>
      </c>
      <c r="K3">
        <f t="shared" ref="K3:K5" si="3">IF(L3=1,0.935/(H3-1)*I3,-500)</f>
        <v>49.210526315789473</v>
      </c>
      <c r="L3">
        <v>1</v>
      </c>
    </row>
    <row r="4" spans="1:12" x14ac:dyDescent="0.3">
      <c r="A4" t="s">
        <v>11</v>
      </c>
      <c r="B4" t="s">
        <v>12</v>
      </c>
      <c r="C4" t="s">
        <v>17</v>
      </c>
      <c r="D4" t="s">
        <v>18</v>
      </c>
      <c r="E4" t="s">
        <v>20</v>
      </c>
      <c r="F4" t="s">
        <v>16</v>
      </c>
      <c r="G4">
        <v>11</v>
      </c>
      <c r="H4">
        <f t="shared" si="0"/>
        <v>11</v>
      </c>
      <c r="I4">
        <f t="shared" si="1"/>
        <v>500</v>
      </c>
      <c r="J4" t="str">
        <f t="shared" si="2"/>
        <v>GREEN</v>
      </c>
      <c r="K4">
        <f t="shared" si="3"/>
        <v>46.75</v>
      </c>
      <c r="L4">
        <v>1</v>
      </c>
    </row>
    <row r="5" spans="1:12" x14ac:dyDescent="0.3">
      <c r="A5" t="s">
        <v>11</v>
      </c>
      <c r="B5" t="s">
        <v>12</v>
      </c>
      <c r="C5" t="s">
        <v>21</v>
      </c>
      <c r="D5" t="s">
        <v>22</v>
      </c>
      <c r="E5" t="s">
        <v>23</v>
      </c>
      <c r="F5" t="s">
        <v>16</v>
      </c>
      <c r="G5">
        <v>9.6</v>
      </c>
      <c r="H5">
        <f t="shared" si="0"/>
        <v>9.6</v>
      </c>
      <c r="I5">
        <f t="shared" si="1"/>
        <v>500</v>
      </c>
      <c r="J5" t="str">
        <f t="shared" si="2"/>
        <v>GREEN</v>
      </c>
      <c r="K5">
        <f t="shared" si="3"/>
        <v>54.360465116279073</v>
      </c>
      <c r="L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2026-04-29T02:58:39Z</dcterms:created>
  <dcterms:modified xsi:type="dcterms:W3CDTF">2026-04-29T02:59:22Z</dcterms:modified>
</cp:coreProperties>
</file>